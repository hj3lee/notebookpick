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gaming\basedata\"/>
    </mc:Choice>
  </mc:AlternateContent>
  <xr:revisionPtr revIDLastSave="0" documentId="13_ncr:1_{A5990FAB-1CD4-42AB-98A9-0767C4DA5FC0}" xr6:coauthVersionLast="47" xr6:coauthVersionMax="47" xr10:uidLastSave="{00000000-0000-0000-0000-000000000000}"/>
  <bookViews>
    <workbookView xWindow="-110" yWindow="-110" windowWidth="19420" windowHeight="1042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5" l="1"/>
  <c r="M54" i="5"/>
  <c r="M55" i="5"/>
  <c r="M56" i="5"/>
  <c r="L56" i="5"/>
  <c r="L57" i="5"/>
  <c r="L58" i="5"/>
  <c r="L59" i="5"/>
  <c r="L53" i="5"/>
  <c r="L54" i="5"/>
  <c r="L55" i="5"/>
  <c r="R54" i="5" a="1"/>
  <c r="R54" i="5" s="1"/>
  <c r="R53" i="5" a="1"/>
  <c r="R53" i="5" s="1"/>
  <c r="L36" i="5"/>
  <c r="L2" i="5"/>
  <c r="R38" i="5" a="1"/>
  <c r="R38" i="5" s="1"/>
  <c r="R52" i="5" a="1"/>
  <c r="R52" i="5" s="1"/>
  <c r="R51" i="5" a="1"/>
  <c r="R51" i="5" s="1"/>
  <c r="R50" i="5" a="1"/>
  <c r="R50" i="5" s="1"/>
  <c r="R47" i="5" a="1"/>
  <c r="R47" i="5" s="1"/>
  <c r="R46" i="5" a="1"/>
  <c r="R46" i="5" s="1"/>
  <c r="R30" i="5" a="1"/>
  <c r="R30" i="5" s="1"/>
  <c r="R5" i="5" a="1"/>
  <c r="R5" i="5" s="1"/>
  <c r="R8" i="5" a="1"/>
  <c r="R8" i="5" s="1"/>
  <c r="R7" i="5" a="1"/>
  <c r="R7" i="5" s="1"/>
  <c r="R4" i="5" a="1"/>
  <c r="R4" i="5" s="1"/>
  <c r="R19" i="5" a="1"/>
  <c r="R19" i="5" s="1"/>
  <c r="R18" i="5" a="1"/>
  <c r="R18" i="5" s="1"/>
  <c r="R17" i="5" a="1"/>
  <c r="R17" i="5" s="1"/>
  <c r="R31" i="5" a="1"/>
  <c r="R31" i="5" s="1"/>
  <c r="R16" i="5" a="1"/>
  <c r="R16" i="5" s="1"/>
  <c r="R15" i="5" a="1"/>
  <c r="R15" i="5" s="1"/>
  <c r="R24" i="5" a="1"/>
  <c r="R24" i="5" s="1"/>
  <c r="R13" i="5" a="1"/>
  <c r="R13" i="5" s="1"/>
  <c r="R45" i="5" a="1"/>
  <c r="R45" i="5" s="1"/>
  <c r="R43" i="5" a="1"/>
  <c r="R43" i="5" s="1"/>
  <c r="R35" i="5" a="1"/>
  <c r="R35" i="5" s="1"/>
  <c r="R42" i="5" a="1"/>
  <c r="R42" i="5" s="1"/>
  <c r="R41" i="5" a="1"/>
  <c r="R41" i="5" s="1"/>
  <c r="R22" i="5" a="1"/>
  <c r="R22" i="5" s="1"/>
  <c r="R23" i="5" a="1"/>
  <c r="R23" i="5" s="1"/>
  <c r="R11" i="5" a="1"/>
  <c r="R11" i="5" s="1"/>
  <c r="R39" i="5" a="1"/>
  <c r="R39" i="5" s="1"/>
  <c r="R40" i="5" a="1"/>
  <c r="R40" i="5" s="1"/>
  <c r="R44" i="5" a="1"/>
  <c r="R44" i="5" s="1"/>
  <c r="R12" i="5" a="1"/>
  <c r="R12" i="5" s="1"/>
  <c r="R14" i="5" a="1"/>
  <c r="R14" i="5" s="1"/>
  <c r="R34" i="5" a="1"/>
  <c r="R34" i="5" s="1"/>
  <c r="R3" i="5" a="1"/>
  <c r="R3" i="5" s="1"/>
  <c r="R6" i="5" a="1"/>
  <c r="R6" i="5" s="1"/>
  <c r="R25" i="5" a="1"/>
  <c r="R25" i="5" s="1"/>
  <c r="R32" i="5" a="1"/>
  <c r="R32" i="5" s="1"/>
  <c r="R36" i="5" a="1"/>
  <c r="R36" i="5" s="1"/>
  <c r="R2" i="5" a="1"/>
  <c r="R2" i="5" s="1"/>
  <c r="R27" i="5" a="1"/>
  <c r="R27" i="5" s="1"/>
  <c r="R29" i="5" a="1"/>
  <c r="R29" i="5" s="1"/>
  <c r="R48" i="5" a="1"/>
  <c r="R48" i="5" s="1"/>
  <c r="R49" i="5" a="1"/>
  <c r="R49" i="5" s="1"/>
  <c r="R33" i="5" a="1"/>
  <c r="R33" i="5" s="1"/>
  <c r="R37" i="5" a="1"/>
  <c r="R37" i="5" s="1"/>
  <c r="R9" i="5" a="1"/>
  <c r="R9" i="5" s="1"/>
  <c r="R21" i="5" a="1"/>
  <c r="R21" i="5" s="1"/>
  <c r="M22" i="5"/>
  <c r="M23" i="5"/>
  <c r="M11" i="5"/>
  <c r="M39" i="5"/>
  <c r="M40" i="5"/>
  <c r="M41" i="5"/>
  <c r="M42" i="5"/>
  <c r="M43" i="5"/>
  <c r="M44" i="5"/>
  <c r="M45" i="5"/>
  <c r="M12" i="5"/>
  <c r="M13" i="5"/>
  <c r="M24" i="5"/>
  <c r="M14" i="5"/>
  <c r="M15" i="5"/>
  <c r="M16" i="5"/>
  <c r="M31" i="5"/>
  <c r="M17" i="5"/>
  <c r="M18" i="5"/>
  <c r="M19" i="5"/>
  <c r="M4" i="5"/>
  <c r="M7" i="5"/>
  <c r="M8" i="5"/>
  <c r="M34" i="5"/>
  <c r="M35" i="5"/>
  <c r="M3" i="5"/>
  <c r="M5" i="5"/>
  <c r="M6" i="5"/>
  <c r="M25" i="5"/>
  <c r="M32" i="5"/>
  <c r="M36" i="5"/>
  <c r="M26" i="5"/>
  <c r="M2" i="5"/>
  <c r="M27" i="5"/>
  <c r="M29" i="5"/>
  <c r="M30" i="5"/>
  <c r="M46" i="5"/>
  <c r="M47" i="5"/>
  <c r="M10" i="5"/>
  <c r="M20" i="5"/>
  <c r="M28" i="5"/>
  <c r="M48" i="5"/>
  <c r="M50" i="5"/>
  <c r="M49" i="5"/>
  <c r="M51" i="5"/>
  <c r="M52" i="5"/>
  <c r="M33" i="5"/>
  <c r="M37" i="5"/>
  <c r="M38" i="5"/>
  <c r="M9" i="5"/>
  <c r="M21" i="5"/>
  <c r="L22" i="5"/>
  <c r="L23" i="5"/>
  <c r="L11" i="5"/>
  <c r="L39" i="5"/>
  <c r="L40" i="5"/>
  <c r="L41" i="5"/>
  <c r="L42" i="5"/>
  <c r="L43" i="5"/>
  <c r="L44" i="5"/>
  <c r="L45" i="5"/>
  <c r="L12" i="5"/>
  <c r="L13" i="5"/>
  <c r="L24" i="5"/>
  <c r="L14" i="5"/>
  <c r="L15" i="5"/>
  <c r="L16" i="5"/>
  <c r="L31" i="5"/>
  <c r="L17" i="5"/>
  <c r="L18" i="5"/>
  <c r="L19" i="5"/>
  <c r="L4" i="5"/>
  <c r="L7" i="5"/>
  <c r="L8" i="5"/>
  <c r="L34" i="5"/>
  <c r="L35" i="5"/>
  <c r="L3" i="5"/>
  <c r="L5" i="5"/>
  <c r="L6" i="5"/>
  <c r="L25" i="5"/>
  <c r="L32" i="5"/>
  <c r="L26" i="5"/>
  <c r="L27" i="5"/>
  <c r="L29" i="5"/>
  <c r="L30" i="5"/>
  <c r="L46" i="5"/>
  <c r="L47" i="5"/>
  <c r="L10" i="5"/>
  <c r="L20" i="5"/>
  <c r="L28" i="5"/>
  <c r="L48" i="5"/>
  <c r="L50" i="5"/>
  <c r="L49" i="5"/>
  <c r="L51" i="5"/>
  <c r="L52" i="5"/>
  <c r="L33" i="5"/>
  <c r="L37" i="5"/>
  <c r="L38" i="5"/>
  <c r="L9" i="5"/>
  <c r="L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<sst xmlns="http://schemas.openxmlformats.org/spreadsheetml/2006/main" count="326" uniqueCount="155">
  <si>
    <t>id</t>
  </si>
  <si>
    <t>link</t>
  </si>
  <si>
    <t>brand</t>
  </si>
  <si>
    <t>name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</si>
  <si>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</si>
  <si>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</si>
  <si>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</si>
  <si>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</si>
  <si>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</si>
  <si>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</si>
  <si>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</si>
  <si>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</si>
  <si>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</si>
  <si>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</si>
  <si>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market</t>
  </si>
  <si>
    <t>lasust_update</t>
  </si>
  <si>
    <t>쿠팡</t>
  </si>
  <si>
    <t>window</t>
    <phoneticPr fontId="18" type="noConversion"/>
  </si>
  <si>
    <t>not_selling</t>
    <phoneticPr fontId="18" type="noConversion"/>
  </si>
  <si>
    <t>https://www.coupang.com/vp/products/9018633339?itemId=26440741094&amp;vendorItemId=93416362417</t>
  </si>
  <si>
    <t>쿠팡</t>
    <phoneticPr fontId="18" type="noConversion"/>
  </si>
  <si>
    <t>LOQ 15AHP10, R7 250/5060</t>
  </si>
  <si>
    <t>gpu</t>
    <phoneticPr fontId="18" type="noConversion"/>
  </si>
  <si>
    <t>리전 5 15AHP10, R7 260/5060</t>
  </si>
  <si>
    <t>리전 5 15AKP10, R7 350/5070</t>
  </si>
  <si>
    <t>오멘 16, R7 350/5060</t>
  </si>
  <si>
    <t>https://www.coupang.com/vp/products/9277699361?itemId=27465445395&amp;vendorItemId=94430699317</t>
  </si>
  <si>
    <t>https://www.coupang.com/vp/products/8837462423?itemId=25754178542&amp;vendorItemId=92742426422</t>
  </si>
  <si>
    <t>오멘 16, R9 8940HX/5060</t>
  </si>
  <si>
    <t>TUF A14, R7 260/5060</t>
  </si>
  <si>
    <t>TUF A14, R7 350/5060</t>
  </si>
  <si>
    <t>https://www.coupang.com/vp/products/8952675716?itemId=26188751314&amp;vendorItemId=93168176760</t>
  </si>
  <si>
    <t>single</t>
    <phoneticPr fontId="18" type="noConversion"/>
  </si>
  <si>
    <t>1TB</t>
    <phoneticPr fontId="18" type="noConversion"/>
  </si>
  <si>
    <t>512GB</t>
    <phoneticPr fontId="18" type="noConversion"/>
  </si>
  <si>
    <t>https://www.coupang.com/vp/products/8774172630?itemId=25524523223&amp;vendorItemId=92516319080</t>
  </si>
  <si>
    <t>TUF A16, R7 260/5060</t>
  </si>
  <si>
    <t>https://www.coupang.com/vp/products/8783926143?itemId=25559511189&amp;vendorItemId=92550827920</t>
  </si>
  <si>
    <t>https://www.coupang.com/vp/products/8853447738?itemId=25811877071&amp;vendorItemId=92799026566</t>
  </si>
  <si>
    <t>TUF A16, R7 260/5050</t>
  </si>
  <si>
    <t>https://www.coupang.com/vp/products/8775686288?itemId=25530075131&amp;vendorItemId=92521813430</t>
  </si>
  <si>
    <t>https://www.coupang.com/vp/products/8835024384?itemId=25745774086&amp;vendorItemId=92734130287</t>
  </si>
  <si>
    <t>https://www.coupang.com/vp/products/8982779083?itemId=26301942628&amp;vendorItemId=93279668232</t>
  </si>
  <si>
    <t>TUF A16, R9 8940HX/5070 WQXGA</t>
  </si>
  <si>
    <t>https://www.coupang.com/vp/products/9167902430?itemId=27014590927&amp;vendorItemId=93983227395</t>
  </si>
  <si>
    <t>https://www.coupang.com/vp/products/8899002146?itemId=25984595201&amp;vendorItemId=92967046632</t>
  </si>
  <si>
    <t>https://www.coupang.com/vp/products/8773992950?itemId=25523735423&amp;vendorItemId=92515547957</t>
  </si>
  <si>
    <t>https://www.coupang.com/vp/products/9205272622?itemId=27183962156&amp;vendorItemId=94151511891</t>
  </si>
  <si>
    <t>https://www.coupang.com/vp/products/9074269633?itemId=26652309626&amp;vendorItemId=93624824750</t>
  </si>
  <si>
    <t>https://www.coupang.com/vp/products/8904297554?itemId=26003982478&amp;vendorItemId=92986077906</t>
  </si>
  <si>
    <t>니트로 V 16 슬림, R7 260/5060</t>
  </si>
  <si>
    <t>https://www.coupang.com/vp/products/8971714769?itemId=26258100341&amp;vendorItemId=93236465468</t>
  </si>
  <si>
    <t>https://www.coupang.com/vp/products/8880588148?itemId=25917512831&amp;vendorItemId=92903064695</t>
  </si>
  <si>
    <t>https://www.coupang.com/vp/products/9234391064?itemId=27300437532&amp;vendorItemId=94266985637</t>
  </si>
  <si>
    <t>https://www.coupang.com/vp/products/9200481145?itemId=27164469297&amp;vendorItemId=94132178204</t>
  </si>
  <si>
    <t>https://www.coupang.com/vp/products/8733078928?itemId=25376712122&amp;vendorItemId=92370774835</t>
  </si>
  <si>
    <t>https://www.coupang.com/vp/products/8733078928?itemId=25777643455&amp;vendorItemId=92765623467</t>
  </si>
  <si>
    <t>win11</t>
    <phoneticPr fontId="18" type="noConversion"/>
  </si>
  <si>
    <t>https://www.coupang.com/vp/products/8873266044?itemId=25890522816&amp;vendorItemId=92876445013</t>
  </si>
  <si>
    <t>https://www.coupang.com/vp/products/8836980191?itemId=25752060438&amp;vendorItemId=92740350838</t>
  </si>
  <si>
    <t>https://www.coupang.com/vp/products/8935925393?itemId=25890522454&amp;vendorItemId=92876444744</t>
  </si>
  <si>
    <t>https://www.coupang.com/vp/products/8760962623?itemId=25474920787&amp;vendorItemId=92467342021</t>
  </si>
  <si>
    <t>https://www.coupang.com/vp/products/8792486494?itemId=25592949982&amp;vendorItemId=92583699379</t>
  </si>
  <si>
    <t>https://www.coupang.com/vp/products/8790276970?itemId=25584164030&amp;vendorItemId=92575058855</t>
  </si>
  <si>
    <t>오멘 맥스 16, R9 375HX/5060</t>
  </si>
  <si>
    <t>오멘 맥스 16, U9 275HX/5070</t>
  </si>
  <si>
    <t>오멘 맥스 16, R7 350/5070 Ti</t>
  </si>
  <si>
    <t>오멘 맥스 16, U9 275HX/5070 Ti</t>
  </si>
  <si>
    <t>https://www.coupang.com/vp/products/8966522013?itemId=26241074138&amp;vendorItemId=93219739755</t>
  </si>
  <si>
    <t>https://www.coupang.com/vp/products/9325824364?itemId=27736313139&amp;vendorItemId=94697490099</t>
  </si>
  <si>
    <t>https://www.coupang.com/vp/products/8715362832?itemId=25312533063&amp;vendorItemId=92307623157</t>
  </si>
  <si>
    <t>https://www.coupang.com/vp/products/8771764425?itemId=25515886631&amp;vendorItemId=92507808343</t>
  </si>
  <si>
    <t>https://www.coupang.com/vp/products/8941557079?itemId=26148695560&amp;vendorItemId=93128696273</t>
  </si>
  <si>
    <t>오멘 17, R7 350/5060</t>
  </si>
  <si>
    <t>ROG 스트릭스 G16, U9 275HX/5080</t>
  </si>
  <si>
    <t>오멘 맥스 16, R9 375HX/5080</t>
  </si>
  <si>
    <t>레이더 A18, R9 9955HX/5080</t>
  </si>
  <si>
    <t>https://www.coupang.com/vp/products/8686463967?itemId=25217316659&amp;vendorItemId=92213738237</t>
  </si>
  <si>
    <t>TUF A16, R7 260/5060 WQXGA</t>
  </si>
  <si>
    <t>TUF F16, I7 14650HX/5060 WQXGA</t>
  </si>
  <si>
    <t>TUF F16, I7 14650HX/5070 WQXGA</t>
  </si>
  <si>
    <t>TUF F16, I5 14450HX/5050</t>
  </si>
  <si>
    <t>TUF A18, R7 260/5050</t>
  </si>
  <si>
    <t>TUF A18, R7 260/5060</t>
  </si>
  <si>
    <t>TUF A18, R7 260/5070</t>
  </si>
  <si>
    <t>니트로 16 슬림, R7 350/5070</t>
  </si>
  <si>
    <t>헬리오스 네오 16 슬림, U9 275HX/5060</t>
  </si>
  <si>
    <t>헬리오스 네오 16, U9 275HX/5070</t>
  </si>
  <si>
    <t>니트로 18, R7 350/5060</t>
  </si>
  <si>
    <t>니트로 18, R7 350/5070</t>
  </si>
  <si>
    <t>빅터스 16, I5 13500HX/4060</t>
  </si>
  <si>
    <t>빅터스 16, I5 14450HX/4060</t>
  </si>
  <si>
    <t>소드 GF76 17.3, I7 14650HX/5060</t>
  </si>
  <si>
    <t>리전 7 16IAX10, U9 275HX/5070</t>
  </si>
  <si>
    <t>ROG 스트릭스 G18, U9 275HX/5070</t>
  </si>
  <si>
    <t>오멘 15, I5 14450HX/5060</t>
  </si>
  <si>
    <t>벡터 16, U7 275HX/5080</t>
  </si>
  <si>
    <t>헬리오스 네오 16, U9 275HX/5070 Ti</t>
  </si>
  <si>
    <t>헬리오스 네오 18, U9 275HX/5070 Ti</t>
  </si>
  <si>
    <t>리전 프로 5 16IAX10, U9 275HX/5070 Ti</t>
  </si>
  <si>
    <t>ROG 스트릭스 G18, U9 275HX/5070 Ti</t>
  </si>
  <si>
    <t>벡터 16, U7 275HX/5070 Ti</t>
  </si>
  <si>
    <t>variant</t>
    <phoneticPr fontId="18" type="noConversion"/>
  </si>
  <si>
    <t>https://www.coupang.com/vp/products/8826112134?itemId=25719163101&amp;vendorItemId=92707939317</t>
  </si>
  <si>
    <t>https://www.coupang.com/vp/products/7685542307?itemId=19025582401&amp;vendorItemId=86149803397</t>
    <phoneticPr fontId="18" type="noConversion"/>
  </si>
  <si>
    <t>https://www.coupang.com/vp/products/8677554106?itemId=25190830588&amp;vendorItemId=92187575667</t>
    <phoneticPr fontId="18" type="noConversion"/>
  </si>
  <si>
    <t>https://www.coupang.com/vp/products/8825969244?itemId=25789822919&amp;vendorItemId=92777600085</t>
    <phoneticPr fontId="18" type="noConversion"/>
  </si>
  <si>
    <t>https://www.coupang.com/vp/products/8835398704?itemId=25746757768&amp;vendorItemId=92735093516</t>
    <phoneticPr fontId="18" type="noConversion"/>
  </si>
  <si>
    <t>https://www.coupang.com/vp/products/8711669095?itemId=26764774488&amp;vendorItemId=93735603813</t>
    <phoneticPr fontId="18" type="noConversion"/>
  </si>
  <si>
    <t>ASUS</t>
    <phoneticPr fontId="18" type="noConversion"/>
  </si>
  <si>
    <t>acer</t>
    <phoneticPr fontId="18" type="noConversion"/>
  </si>
  <si>
    <t>msi</t>
    <phoneticPr fontId="18" type="noConversion"/>
  </si>
  <si>
    <t>Lenovo</t>
    <phoneticPr fontId="18" type="noConversion"/>
  </si>
  <si>
    <t>HP</t>
    <phoneticPr fontId="18" type="noConversion"/>
  </si>
  <si>
    <t>리전 프로 7 16IAX10, U9 275HX/5080</t>
    <phoneticPr fontId="18" type="noConversion"/>
  </si>
  <si>
    <t>리전 프로 5 16IAX10, U9 275HX/5070</t>
    <phoneticPr fontId="18" type="noConversion"/>
  </si>
  <si>
    <t>쿠팡</t>
    <phoneticPr fontId="18" type="noConversion"/>
  </si>
  <si>
    <t>dual</t>
    <phoneticPr fontId="18" type="noConversion"/>
  </si>
  <si>
    <t>https://www.coupang.com/vp/products/8771136679?itemId=25513329531&amp;vendorItemId=92505305899</t>
    <phoneticPr fontId="18" type="noConversion"/>
  </si>
  <si>
    <t>https://www.coupang.com/vp/products/8826133206?itemId=25719248433&amp;vendorItemId=92708022379</t>
    <phoneticPr fontId="18" type="noConversion"/>
  </si>
  <si>
    <t>https://www.coupang.com/vp/products/8763580498?itemId=25484221675&amp;vendorItemId=92476480219</t>
    <phoneticPr fontId="18" type="noConversion"/>
  </si>
  <si>
    <t>https://www.coupang.com/vp/products/8758944787?itemId=25467752802&amp;vendorItemId=92460264359</t>
    <phoneticPr fontId="18" type="noConversion"/>
  </si>
  <si>
    <t>https://www.coupang.com/vp/products/8771223830?itemId=25513732236&amp;vendorItemId=92505701532</t>
    <phoneticPr fontId="18" type="noConversion"/>
  </si>
  <si>
    <t>portability</t>
  </si>
  <si>
    <t>display</t>
    <phoneticPr fontId="18" type="noConversion"/>
  </si>
  <si>
    <t>cpu_style</t>
    <phoneticPr fontId="18" type="noConversion"/>
  </si>
  <si>
    <t>single</t>
    <phoneticPr fontId="18" type="noConversion"/>
  </si>
  <si>
    <t>ROG 스트릭스 G16, R9 9955HX3D/5070 Ti</t>
    <phoneticPr fontId="18" type="noConversion"/>
  </si>
  <si>
    <t>single</t>
    <phoneticPr fontId="18" type="noConversion"/>
  </si>
  <si>
    <t>https://www.coupang.com/vp/products/8721382195?itemId=25333537099&amp;vendorItemId=92328320231</t>
    <phoneticPr fontId="18" type="noConversion"/>
  </si>
  <si>
    <t>dual</t>
    <phoneticPr fontId="18" type="noConversion"/>
  </si>
  <si>
    <t>https://www.coupang.com/vp/products/8852815391?itemId=25809161282&amp;vendorItemId=92796439383</t>
    <phoneticPr fontId="18" type="noConversion"/>
  </si>
  <si>
    <t>onboard</t>
    <phoneticPr fontId="18" type="noConversion"/>
  </si>
  <si>
    <t>https://www.coupang.com/vp/products/8899002151?itemId=25984595232&amp;vendorItemId=92967046664</t>
    <phoneticPr fontId="18" type="noConversion"/>
  </si>
  <si>
    <t>weight</t>
    <phoneticPr fontId="18" type="noConversion"/>
  </si>
  <si>
    <t>battery</t>
    <phoneticPr fontId="18" type="noConversion"/>
  </si>
  <si>
    <t>리전 프로 7 16IAX10, U9 275HX/5070 Ti</t>
    <phoneticPr fontId="18" type="noConversion"/>
  </si>
  <si>
    <t>오멘 맥스 16, U7 255HX/5060 OLED</t>
    <phoneticPr fontId="18" type="noConversion"/>
  </si>
  <si>
    <t>오멘 16, U7 255H/5060</t>
    <phoneticPr fontId="18" type="noConversion"/>
  </si>
  <si>
    <t>https://www.coupang.com/vp/products/9007205840?itemId=27375892821&amp;vendorItemId=94341787823</t>
  </si>
  <si>
    <t>LG</t>
    <phoneticPr fontId="18" type="noConversion"/>
  </si>
  <si>
    <t>https://www.coupang.com/vp/products/9254540096?itemId=27375892823&amp;vendorItemId=94341787824</t>
  </si>
  <si>
    <t>lg</t>
    <phoneticPr fontId="18" type="noConversion"/>
  </si>
  <si>
    <t>화이트</t>
    <phoneticPr fontId="18" type="noConversion"/>
  </si>
  <si>
    <t>https://www.coupang.com/vp/products/9395836180?itemId=27904531391&amp;vendorItemId=94863309099</t>
  </si>
  <si>
    <t>블랙</t>
    <phoneticPr fontId="18" type="noConversion"/>
  </si>
  <si>
    <t>gigabyte</t>
    <phoneticPr fontId="18" type="noConversion"/>
  </si>
  <si>
    <t>에어로 X16, R7 350/5060</t>
    <phoneticPr fontId="18" type="noConversion"/>
  </si>
  <si>
    <t>그램프로 16, U5 225H/5050</t>
    <phoneticPr fontId="18" type="noConversion"/>
  </si>
  <si>
    <t>그램프로 17, U5 225H/5050</t>
    <phoneticPr fontId="18" type="noConversion"/>
  </si>
  <si>
    <t>https://www.coupang.com/vp/products/8938802218?itemId=26137504736&amp;vendorItemId=93117664782</t>
  </si>
  <si>
    <t>16GB 램</t>
    <phoneticPr fontId="18" type="noConversion"/>
  </si>
  <si>
    <t>32GB 램</t>
    <phoneticPr fontId="18" type="noConversion"/>
  </si>
  <si>
    <t>https://www.coupang.com/vp/products/8960448289</t>
    <phoneticPr fontId="18" type="noConversion"/>
  </si>
  <si>
    <t>https://www.coupang.com/vp/products/9018648022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</si>
</sst>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7685542307?itemId=19025582401&amp;vendorItemId=86149803397" TargetMode="External"/><Relationship Id="rId2" Type="http://schemas.openxmlformats.org/officeDocument/2006/relationships/hyperlink" Target="https://www.coupang.com/vp/products/8899002151?itemId=25984595232&amp;vendorItemId=92967046664" TargetMode="External"/><Relationship Id="rId1" Type="http://schemas.openxmlformats.org/officeDocument/2006/relationships/hyperlink" Target="https://www.coupang.com/vp/products/8852815391?itemId=25809161282&amp;vendorItemId=9279643938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oupang.com/vp/products/89604482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Z78"/>
  <sheetViews>
    <sheetView tabSelected="1" zoomScale="70" zoomScaleNormal="70" workbookViewId="0">
      <pane ySplit="1" topLeftCell="A2" activePane="bottomLeft" state="frozen"/>
      <selection activeCell="D1" sqref="D1"/>
      <selection pane="bottomLeft" activeCell="J15" sqref="J15"/>
    </sheetView>
  </sheetViews>
  <sheetFormatPr defaultRowHeight="17" x14ac:dyDescent="0.45"/>
  <cols>
    <col min="2" max="2" width="21" customWidth="1"/>
    <col min="4" max="4" width="40.83203125" bestFit="1" customWidth="1"/>
    <col min="6" max="7" width="9.1640625" customWidth="1"/>
    <col min="8" max="8" width="10.6640625" customWidth="1"/>
    <col min="9" max="9" width="14.08203125" customWidth="1"/>
    <col min="10" max="10" width="12.1640625" customWidth="1"/>
    <col min="11" max="11" width="12.5" customWidth="1"/>
    <col min="12" max="12" width="18.4140625" customWidth="1"/>
    <col min="13" max="13" width="9.1640625" customWidth="1"/>
    <col min="17" max="18" width="9.1640625" customWidth="1"/>
    <col min="21" max="21" width="9.1640625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102</v>
      </c>
      <c r="G1" t="s">
        <v>5</v>
      </c>
      <c r="H1" t="s">
        <v>18</v>
      </c>
      <c r="I1" t="s">
        <v>6</v>
      </c>
      <c r="J1" t="s">
        <v>7</v>
      </c>
      <c r="K1" t="s">
        <v>8</v>
      </c>
      <c r="L1" t="s">
        <v>9</v>
      </c>
      <c r="M1" t="s">
        <v>22</v>
      </c>
      <c r="N1" t="s">
        <v>10</v>
      </c>
      <c r="O1" t="s">
        <v>11</v>
      </c>
      <c r="P1" t="s">
        <v>12</v>
      </c>
      <c r="Q1" t="s">
        <v>17</v>
      </c>
      <c r="R1" t="s">
        <v>13</v>
      </c>
      <c r="S1" t="s">
        <v>123</v>
      </c>
      <c r="T1" t="s">
        <v>124</v>
      </c>
      <c r="U1" t="s">
        <v>125</v>
      </c>
      <c r="V1" t="s">
        <v>134</v>
      </c>
      <c r="W1" t="s">
        <v>135</v>
      </c>
      <c r="Y1" t="s">
        <v>14</v>
      </c>
      <c r="Z1" t="s">
        <v>15</v>
      </c>
    </row>
    <row r="2" spans="1:26" x14ac:dyDescent="0.45">
      <c r="B2" t="s">
        <v>68</v>
      </c>
      <c r="C2" t="s">
        <v>113</v>
      </c>
      <c r="D2" t="s">
        <v>137</v>
      </c>
      <c r="H2">
        <v>0</v>
      </c>
      <c r="L2" t="str">
        <f t="shared" ref="L2:L33" si="0">TRIM(MID(D2, FIND(",", D2)+1, FIND("/", D2)-FIND(",", D2)-1))</f>
        <v>U7 255HX</v>
      </c>
      <c r="M2" t="str">
        <f t="shared" ref="M2:M33" si="1">_xlfn.LET(
    _xlpm.txt, TRIM(MID(D2, FIND("/", D2)+1, LEN(D2))),
    IFERROR(LEFT(_xlpm.txt, FIND("Ti", _xlpm.txt)+1), LEFT(_xlpm.txt, FIND(" ", _xlpm.txt&amp;" ")-1))
)</f>
        <v>5060</v>
      </c>
      <c r="N2">
        <v>32</v>
      </c>
      <c r="O2" t="s">
        <v>130</v>
      </c>
      <c r="P2">
        <v>1024</v>
      </c>
      <c r="Q2">
        <v>1</v>
      </c>
      <c r="R2" t="str" cm="1">
        <f t="array" ref="R2">IFERROR(
    LOOKUP(2^15, SEARCH({"16","18","14"}, D2), {"16","18","14"}),
    ""
)</f>
        <v>16</v>
      </c>
      <c r="S2">
        <v>2</v>
      </c>
      <c r="T2">
        <v>9</v>
      </c>
      <c r="U2">
        <v>1</v>
      </c>
      <c r="Y2" t="s">
        <v>20</v>
      </c>
    </row>
    <row r="3" spans="1:26" x14ac:dyDescent="0.45">
      <c r="B3" s="2" t="s">
        <v>104</v>
      </c>
      <c r="C3" t="s">
        <v>113</v>
      </c>
      <c r="D3" t="s">
        <v>90</v>
      </c>
      <c r="H3">
        <v>0</v>
      </c>
      <c r="L3" t="str">
        <f t="shared" si="0"/>
        <v>I5 13500HX</v>
      </c>
      <c r="M3" t="str">
        <f t="shared" si="1"/>
        <v>4060</v>
      </c>
      <c r="N3">
        <v>16</v>
      </c>
      <c r="O3" t="s">
        <v>130</v>
      </c>
      <c r="P3">
        <v>512</v>
      </c>
      <c r="Q3">
        <v>0</v>
      </c>
      <c r="R3" t="str" cm="1">
        <f t="array" ref="R3">IFERROR(
    LOOKUP(2^15, SEARCH({"16","18","14"}, D3), {"16","18","14"}),
    ""
)</f>
        <v>16</v>
      </c>
      <c r="S3">
        <v>3</v>
      </c>
      <c r="T3">
        <v>4</v>
      </c>
      <c r="U3">
        <v>1</v>
      </c>
      <c r="Y3" t="s">
        <v>20</v>
      </c>
    </row>
    <row r="4" spans="1:26" x14ac:dyDescent="0.45">
      <c r="B4" t="s">
        <v>44</v>
      </c>
      <c r="C4" t="s">
        <v>109</v>
      </c>
      <c r="D4" t="s">
        <v>81</v>
      </c>
      <c r="H4">
        <v>0</v>
      </c>
      <c r="L4" t="str">
        <f t="shared" si="0"/>
        <v>I5 14450HX</v>
      </c>
      <c r="M4" t="str">
        <f t="shared" si="1"/>
        <v>5050</v>
      </c>
      <c r="N4">
        <v>16</v>
      </c>
      <c r="O4" t="s">
        <v>128</v>
      </c>
      <c r="P4">
        <v>512</v>
      </c>
      <c r="Q4">
        <v>0</v>
      </c>
      <c r="R4" t="str" cm="1">
        <f t="array" ref="R4">IFERROR(
    LOOKUP(2^15, SEARCH({"16","18","14"}, D4), {"16","18","14"}),
    ""
)</f>
        <v>14</v>
      </c>
      <c r="S4">
        <v>5</v>
      </c>
      <c r="T4">
        <v>4</v>
      </c>
      <c r="U4">
        <v>1</v>
      </c>
      <c r="Y4" t="s">
        <v>20</v>
      </c>
    </row>
    <row r="5" spans="1:26" x14ac:dyDescent="0.45">
      <c r="B5" t="s">
        <v>105</v>
      </c>
      <c r="C5" t="s">
        <v>113</v>
      </c>
      <c r="D5" t="s">
        <v>91</v>
      </c>
      <c r="H5">
        <v>0</v>
      </c>
      <c r="L5" t="str">
        <f t="shared" si="0"/>
        <v>I5 14450HX</v>
      </c>
      <c r="M5" t="str">
        <f t="shared" si="1"/>
        <v>4060</v>
      </c>
      <c r="N5">
        <v>16</v>
      </c>
      <c r="O5" t="s">
        <v>130</v>
      </c>
      <c r="P5">
        <v>512</v>
      </c>
      <c r="Q5">
        <v>0</v>
      </c>
      <c r="R5" t="str" cm="1">
        <f t="array" ref="R5">IFERROR(
    LOOKUP(2^15, SEARCH({"16","18","14"}, D5), {"16","18","14"}),
    ""
)</f>
        <v>14</v>
      </c>
      <c r="S5">
        <v>3</v>
      </c>
      <c r="T5">
        <v>4</v>
      </c>
      <c r="U5">
        <v>1</v>
      </c>
      <c r="Y5" t="s">
        <v>20</v>
      </c>
    </row>
    <row r="6" spans="1:26" x14ac:dyDescent="0.45">
      <c r="B6" t="s">
        <v>69</v>
      </c>
      <c r="C6" t="s">
        <v>113</v>
      </c>
      <c r="D6" t="s">
        <v>95</v>
      </c>
      <c r="H6">
        <v>0</v>
      </c>
      <c r="L6" t="str">
        <f t="shared" si="0"/>
        <v>I5 14450HX</v>
      </c>
      <c r="M6" t="str">
        <f t="shared" si="1"/>
        <v>5060</v>
      </c>
      <c r="N6">
        <v>24</v>
      </c>
      <c r="O6" t="s">
        <v>128</v>
      </c>
      <c r="P6">
        <v>1024</v>
      </c>
      <c r="Q6">
        <v>0</v>
      </c>
      <c r="R6" t="str" cm="1">
        <f t="array" ref="R6">IFERROR(
    LOOKUP(2^15, SEARCH({"16","18","14"}, D6), {"16","18","14"}),
    ""
)</f>
        <v>14</v>
      </c>
      <c r="S6">
        <v>4</v>
      </c>
      <c r="T6">
        <v>6</v>
      </c>
      <c r="U6">
        <v>1</v>
      </c>
      <c r="Y6" t="s">
        <v>20</v>
      </c>
    </row>
    <row r="7" spans="1:26" x14ac:dyDescent="0.45">
      <c r="B7" t="s">
        <v>41</v>
      </c>
      <c r="C7" t="s">
        <v>109</v>
      </c>
      <c r="D7" t="s">
        <v>79</v>
      </c>
      <c r="H7">
        <v>0</v>
      </c>
      <c r="L7" t="str">
        <f t="shared" si="0"/>
        <v>I7 14650HX</v>
      </c>
      <c r="M7" t="str">
        <f t="shared" si="1"/>
        <v>5060</v>
      </c>
      <c r="N7">
        <v>16</v>
      </c>
      <c r="O7" t="s">
        <v>128</v>
      </c>
      <c r="P7">
        <v>512</v>
      </c>
      <c r="Q7">
        <v>0</v>
      </c>
      <c r="R7" t="str" cm="1">
        <f t="array" ref="R7">IFERROR(
    LOOKUP(2^15, SEARCH({"16","18","14"}, D7), {"16","18","14"}),
    ""
)</f>
        <v>14</v>
      </c>
      <c r="S7">
        <v>5</v>
      </c>
      <c r="T7">
        <v>6</v>
      </c>
      <c r="U7">
        <v>1</v>
      </c>
      <c r="Y7" t="s">
        <v>20</v>
      </c>
    </row>
    <row r="8" spans="1:26" x14ac:dyDescent="0.45">
      <c r="B8" t="s">
        <v>42</v>
      </c>
      <c r="C8" t="s">
        <v>109</v>
      </c>
      <c r="D8" t="s">
        <v>80</v>
      </c>
      <c r="H8">
        <v>0</v>
      </c>
      <c r="L8" t="str">
        <f t="shared" si="0"/>
        <v>I7 14650HX</v>
      </c>
      <c r="M8" t="str">
        <f t="shared" si="1"/>
        <v>5070</v>
      </c>
      <c r="N8">
        <v>16</v>
      </c>
      <c r="O8" t="s">
        <v>128</v>
      </c>
      <c r="P8">
        <v>512</v>
      </c>
      <c r="Q8">
        <v>0</v>
      </c>
      <c r="R8" t="str" cm="1">
        <f t="array" ref="R8">IFERROR(
    LOOKUP(2^15, SEARCH({"16","18","14"}, D8), {"16","18","14"}),
    ""
)</f>
        <v>14</v>
      </c>
      <c r="S8">
        <v>5</v>
      </c>
      <c r="T8">
        <v>6</v>
      </c>
      <c r="U8">
        <v>1</v>
      </c>
      <c r="Y8" t="s">
        <v>20</v>
      </c>
    </row>
    <row r="9" spans="1:26" x14ac:dyDescent="0.45">
      <c r="B9" t="s">
        <v>106</v>
      </c>
      <c r="C9" t="s">
        <v>111</v>
      </c>
      <c r="D9" t="s">
        <v>92</v>
      </c>
      <c r="H9">
        <v>0</v>
      </c>
      <c r="L9" t="str">
        <f t="shared" si="0"/>
        <v>I7 14650HX</v>
      </c>
      <c r="M9" t="str">
        <f t="shared" si="1"/>
        <v>5060</v>
      </c>
      <c r="N9">
        <v>16</v>
      </c>
      <c r="O9" t="s">
        <v>130</v>
      </c>
      <c r="P9">
        <v>512</v>
      </c>
      <c r="Q9">
        <v>0</v>
      </c>
      <c r="R9" t="str" cm="1">
        <f t="array" ref="R9">IFERROR(
    LOOKUP(2^15, SEARCH({"16","18","14"}, D9), {"16","18","14"}),
    ""
)</f>
        <v>14</v>
      </c>
      <c r="S9">
        <v>1</v>
      </c>
      <c r="T9">
        <v>8</v>
      </c>
      <c r="U9">
        <v>1</v>
      </c>
      <c r="V9">
        <v>270</v>
      </c>
      <c r="W9">
        <v>75</v>
      </c>
      <c r="Y9" t="s">
        <v>20</v>
      </c>
    </row>
    <row r="10" spans="1:26" x14ac:dyDescent="0.45">
      <c r="B10" t="s">
        <v>19</v>
      </c>
      <c r="C10" t="s">
        <v>112</v>
      </c>
      <c r="D10" t="s">
        <v>21</v>
      </c>
      <c r="H10">
        <v>0</v>
      </c>
      <c r="L10" t="str">
        <f t="shared" si="0"/>
        <v>R7 250</v>
      </c>
      <c r="M10" t="str">
        <f t="shared" si="1"/>
        <v>5060</v>
      </c>
      <c r="N10">
        <v>16</v>
      </c>
      <c r="O10" t="s">
        <v>32</v>
      </c>
      <c r="P10">
        <v>512</v>
      </c>
      <c r="Q10">
        <v>0</v>
      </c>
      <c r="R10">
        <v>15.6</v>
      </c>
      <c r="S10">
        <v>2</v>
      </c>
      <c r="T10">
        <v>3</v>
      </c>
      <c r="U10">
        <v>0</v>
      </c>
      <c r="Y10" t="s">
        <v>20</v>
      </c>
    </row>
    <row r="11" spans="1:26" x14ac:dyDescent="0.45">
      <c r="B11" t="s">
        <v>47</v>
      </c>
      <c r="C11" t="s">
        <v>110</v>
      </c>
      <c r="D11" t="s">
        <v>50</v>
      </c>
      <c r="H11">
        <v>0</v>
      </c>
      <c r="L11" t="str">
        <f t="shared" si="0"/>
        <v>R7 260</v>
      </c>
      <c r="M11" t="str">
        <f t="shared" si="1"/>
        <v>5060</v>
      </c>
      <c r="N11">
        <v>16</v>
      </c>
      <c r="O11" t="s">
        <v>126</v>
      </c>
      <c r="P11">
        <v>512</v>
      </c>
      <c r="Q11">
        <v>0</v>
      </c>
      <c r="R11" t="str" cm="1">
        <f t="array" ref="R11">IFERROR(
    LOOKUP(2^15, SEARCH({"16","18","14"}, D11), {"16","18","14"}),
    ""
)</f>
        <v>16</v>
      </c>
      <c r="S11">
        <v>6</v>
      </c>
      <c r="T11">
        <v>7</v>
      </c>
      <c r="U11">
        <v>0</v>
      </c>
      <c r="Y11" t="s">
        <v>20</v>
      </c>
    </row>
    <row r="12" spans="1:26" x14ac:dyDescent="0.45">
      <c r="B12" s="1" t="s">
        <v>131</v>
      </c>
      <c r="C12" t="s">
        <v>109</v>
      </c>
      <c r="D12" t="s">
        <v>29</v>
      </c>
      <c r="E12" t="s">
        <v>34</v>
      </c>
      <c r="F12">
        <v>1</v>
      </c>
      <c r="H12">
        <v>0</v>
      </c>
      <c r="L12" t="str">
        <f t="shared" si="0"/>
        <v>R7 260</v>
      </c>
      <c r="M12" t="str">
        <f t="shared" si="1"/>
        <v>5060</v>
      </c>
      <c r="N12">
        <v>32</v>
      </c>
      <c r="O12" t="s">
        <v>132</v>
      </c>
      <c r="P12">
        <v>512</v>
      </c>
      <c r="Q12">
        <v>0</v>
      </c>
      <c r="R12" t="str" cm="1">
        <f t="array" ref="R12">IFERROR(
    LOOKUP(2^15, SEARCH({"16","18","14"}, D12), {"16","18","14"}),
    ""
)</f>
        <v>14</v>
      </c>
      <c r="S12">
        <v>9</v>
      </c>
      <c r="T12">
        <v>6</v>
      </c>
      <c r="U12">
        <v>0</v>
      </c>
      <c r="Y12" t="s">
        <v>20</v>
      </c>
    </row>
    <row r="13" spans="1:26" x14ac:dyDescent="0.45">
      <c r="B13" t="s">
        <v>31</v>
      </c>
      <c r="C13" t="s">
        <v>109</v>
      </c>
      <c r="D13" t="s">
        <v>29</v>
      </c>
      <c r="E13" t="s">
        <v>33</v>
      </c>
      <c r="F13">
        <v>2</v>
      </c>
      <c r="H13">
        <v>0</v>
      </c>
      <c r="L13" t="str">
        <f t="shared" si="0"/>
        <v>R7 260</v>
      </c>
      <c r="M13" t="str">
        <f t="shared" si="1"/>
        <v>5060</v>
      </c>
      <c r="N13">
        <v>32</v>
      </c>
      <c r="O13" t="s">
        <v>132</v>
      </c>
      <c r="P13">
        <v>1024</v>
      </c>
      <c r="Q13">
        <v>0</v>
      </c>
      <c r="R13" t="str" cm="1">
        <f t="array" ref="R13">IFERROR(
    LOOKUP(2^15, SEARCH({"16","18","14"}, D13), {"16","18","14"}),
    ""
)</f>
        <v>14</v>
      </c>
      <c r="S13">
        <v>9</v>
      </c>
      <c r="T13">
        <v>6</v>
      </c>
      <c r="U13">
        <v>0</v>
      </c>
      <c r="Y13" t="s">
        <v>20</v>
      </c>
    </row>
    <row r="14" spans="1:26" x14ac:dyDescent="0.45">
      <c r="B14" t="s">
        <v>38</v>
      </c>
      <c r="C14" t="s">
        <v>109</v>
      </c>
      <c r="D14" t="s">
        <v>39</v>
      </c>
      <c r="H14">
        <v>0</v>
      </c>
      <c r="L14" t="str">
        <f t="shared" si="0"/>
        <v>R7 260</v>
      </c>
      <c r="M14" t="str">
        <f t="shared" si="1"/>
        <v>5050</v>
      </c>
      <c r="N14">
        <v>16</v>
      </c>
      <c r="O14" t="s">
        <v>128</v>
      </c>
      <c r="P14">
        <v>512</v>
      </c>
      <c r="Q14">
        <v>0</v>
      </c>
      <c r="R14" t="str" cm="1">
        <f t="array" ref="R14">IFERROR(
    LOOKUP(2^15, SEARCH({"16","18","14"}, D14), {"16","18","14"}),
    ""
)</f>
        <v>16</v>
      </c>
      <c r="S14">
        <v>6</v>
      </c>
      <c r="T14">
        <v>4</v>
      </c>
      <c r="U14">
        <v>0</v>
      </c>
      <c r="Y14" t="s">
        <v>20</v>
      </c>
    </row>
    <row r="15" spans="1:26" x14ac:dyDescent="0.45">
      <c r="B15" t="s">
        <v>35</v>
      </c>
      <c r="C15" t="s">
        <v>109</v>
      </c>
      <c r="D15" t="s">
        <v>36</v>
      </c>
      <c r="H15">
        <v>0</v>
      </c>
      <c r="L15" t="str">
        <f t="shared" si="0"/>
        <v>R7 260</v>
      </c>
      <c r="M15" t="str">
        <f t="shared" si="1"/>
        <v>5060</v>
      </c>
      <c r="N15">
        <v>16</v>
      </c>
      <c r="O15" t="s">
        <v>128</v>
      </c>
      <c r="P15">
        <v>512</v>
      </c>
      <c r="Q15">
        <v>0</v>
      </c>
      <c r="R15" t="str" cm="1">
        <f t="array" ref="R15">IFERROR(
    LOOKUP(2^15, SEARCH({"16","18","14"}, D15), {"16","18","14"}),
    ""
)</f>
        <v>16</v>
      </c>
      <c r="S15">
        <v>6</v>
      </c>
      <c r="T15">
        <v>4</v>
      </c>
      <c r="U15">
        <v>0</v>
      </c>
      <c r="Y15" t="s">
        <v>20</v>
      </c>
    </row>
    <row r="16" spans="1:26" x14ac:dyDescent="0.45">
      <c r="B16" t="s">
        <v>37</v>
      </c>
      <c r="C16" t="s">
        <v>109</v>
      </c>
      <c r="D16" t="s">
        <v>78</v>
      </c>
      <c r="H16">
        <v>0</v>
      </c>
      <c r="L16" t="str">
        <f t="shared" si="0"/>
        <v>R7 260</v>
      </c>
      <c r="M16" t="str">
        <f t="shared" si="1"/>
        <v>5060</v>
      </c>
      <c r="N16">
        <v>16</v>
      </c>
      <c r="O16" t="s">
        <v>128</v>
      </c>
      <c r="P16">
        <v>512</v>
      </c>
      <c r="Q16">
        <v>0</v>
      </c>
      <c r="R16" t="str" cm="1">
        <f t="array" ref="R16">IFERROR(
    LOOKUP(2^15, SEARCH({"16","18","14"}, D16), {"16","18","14"}),
    ""
)</f>
        <v>16</v>
      </c>
      <c r="S16">
        <v>6</v>
      </c>
      <c r="T16">
        <v>6</v>
      </c>
      <c r="U16">
        <v>0</v>
      </c>
      <c r="Y16" t="s">
        <v>20</v>
      </c>
    </row>
    <row r="17" spans="2:25" x14ac:dyDescent="0.45">
      <c r="B17" t="s">
        <v>45</v>
      </c>
      <c r="C17" t="s">
        <v>109</v>
      </c>
      <c r="D17" t="s">
        <v>82</v>
      </c>
      <c r="H17">
        <v>0</v>
      </c>
      <c r="L17" t="str">
        <f t="shared" si="0"/>
        <v>R7 260</v>
      </c>
      <c r="M17" t="str">
        <f t="shared" si="1"/>
        <v>5050</v>
      </c>
      <c r="N17">
        <v>16</v>
      </c>
      <c r="O17" t="s">
        <v>128</v>
      </c>
      <c r="P17">
        <v>512</v>
      </c>
      <c r="Q17">
        <v>0</v>
      </c>
      <c r="R17" t="str" cm="1">
        <f t="array" ref="R17">IFERROR(
    LOOKUP(2^15, SEARCH({"16","18","14"}, D17), {"16","18","14"}),
    ""
)</f>
        <v>18</v>
      </c>
      <c r="S17">
        <v>1</v>
      </c>
      <c r="T17">
        <v>4</v>
      </c>
      <c r="U17">
        <v>0</v>
      </c>
      <c r="Y17" t="s">
        <v>20</v>
      </c>
    </row>
    <row r="18" spans="2:25" x14ac:dyDescent="0.45">
      <c r="B18" t="s">
        <v>46</v>
      </c>
      <c r="C18" t="s">
        <v>109</v>
      </c>
      <c r="D18" t="s">
        <v>83</v>
      </c>
      <c r="H18">
        <v>0</v>
      </c>
      <c r="L18" t="str">
        <f t="shared" si="0"/>
        <v>R7 260</v>
      </c>
      <c r="M18" t="str">
        <f t="shared" si="1"/>
        <v>5060</v>
      </c>
      <c r="N18">
        <v>16</v>
      </c>
      <c r="O18" t="s">
        <v>128</v>
      </c>
      <c r="P18">
        <v>512</v>
      </c>
      <c r="Q18">
        <v>0</v>
      </c>
      <c r="R18" t="str" cm="1">
        <f t="array" ref="R18">IFERROR(
    LOOKUP(2^15, SEARCH({"16","18","14"}, D18), {"16","18","14"}),
    ""
)</f>
        <v>18</v>
      </c>
      <c r="S18">
        <v>1</v>
      </c>
      <c r="T18">
        <v>4</v>
      </c>
      <c r="U18">
        <v>0</v>
      </c>
      <c r="Y18" t="s">
        <v>20</v>
      </c>
    </row>
    <row r="19" spans="2:25" x14ac:dyDescent="0.45">
      <c r="B19" t="s">
        <v>107</v>
      </c>
      <c r="C19" t="s">
        <v>109</v>
      </c>
      <c r="D19" t="s">
        <v>84</v>
      </c>
      <c r="H19">
        <v>0</v>
      </c>
      <c r="L19" t="str">
        <f t="shared" si="0"/>
        <v>R7 260</v>
      </c>
      <c r="M19" t="str">
        <f t="shared" si="1"/>
        <v>5070</v>
      </c>
      <c r="N19">
        <v>16</v>
      </c>
      <c r="O19" t="s">
        <v>128</v>
      </c>
      <c r="P19">
        <v>512</v>
      </c>
      <c r="Q19">
        <v>0</v>
      </c>
      <c r="R19" t="str" cm="1">
        <f t="array" ref="R19">IFERROR(
    LOOKUP(2^15, SEARCH({"16","18","14"}, D19), {"16","18","14"}),
    ""
)</f>
        <v>18</v>
      </c>
      <c r="S19">
        <v>1</v>
      </c>
      <c r="T19">
        <v>4</v>
      </c>
      <c r="U19">
        <v>0</v>
      </c>
      <c r="Y19" t="s">
        <v>20</v>
      </c>
    </row>
    <row r="20" spans="2:25" x14ac:dyDescent="0.45">
      <c r="B20" s="2" t="s">
        <v>153</v>
      </c>
      <c r="C20" t="s">
        <v>112</v>
      </c>
      <c r="D20" t="s">
        <v>23</v>
      </c>
      <c r="H20">
        <v>0</v>
      </c>
      <c r="L20" t="str">
        <f t="shared" si="0"/>
        <v>R7 260</v>
      </c>
      <c r="M20" t="str">
        <f t="shared" si="1"/>
        <v>5060</v>
      </c>
      <c r="N20">
        <v>24</v>
      </c>
      <c r="O20" t="s">
        <v>128</v>
      </c>
      <c r="P20">
        <v>512</v>
      </c>
      <c r="Q20">
        <v>0</v>
      </c>
      <c r="R20">
        <v>15.1</v>
      </c>
      <c r="S20">
        <v>6</v>
      </c>
      <c r="T20">
        <v>8</v>
      </c>
      <c r="U20">
        <v>0</v>
      </c>
      <c r="Y20" t="s">
        <v>20</v>
      </c>
    </row>
    <row r="21" spans="2:25" x14ac:dyDescent="0.45">
      <c r="B21" t="s">
        <v>48</v>
      </c>
      <c r="C21" t="s">
        <v>110</v>
      </c>
      <c r="D21" t="s">
        <v>85</v>
      </c>
      <c r="H21">
        <v>0</v>
      </c>
      <c r="L21" t="str">
        <f t="shared" si="0"/>
        <v>R7 350</v>
      </c>
      <c r="M21" t="str">
        <f t="shared" si="1"/>
        <v>5070</v>
      </c>
      <c r="N21">
        <v>32</v>
      </c>
      <c r="O21" t="s">
        <v>117</v>
      </c>
      <c r="P21">
        <v>1024</v>
      </c>
      <c r="Q21">
        <v>0</v>
      </c>
      <c r="R21" t="str" cm="1">
        <f t="array" ref="R21">IFERROR(
    LOOKUP(2^15, SEARCH({"16","18","14"}, D21), {"16","18","14"}),
    ""
)</f>
        <v>16</v>
      </c>
      <c r="S21">
        <v>5</v>
      </c>
      <c r="T21">
        <v>7</v>
      </c>
      <c r="U21">
        <v>0</v>
      </c>
      <c r="Y21" t="s">
        <v>20</v>
      </c>
    </row>
    <row r="22" spans="2:25" x14ac:dyDescent="0.45">
      <c r="B22" t="s">
        <v>53</v>
      </c>
      <c r="C22" t="s">
        <v>110</v>
      </c>
      <c r="D22" t="s">
        <v>88</v>
      </c>
      <c r="H22">
        <v>0</v>
      </c>
      <c r="L22" t="str">
        <f t="shared" si="0"/>
        <v>R7 350</v>
      </c>
      <c r="M22" t="str">
        <f t="shared" si="1"/>
        <v>5060</v>
      </c>
      <c r="N22">
        <v>32</v>
      </c>
      <c r="O22" t="s">
        <v>117</v>
      </c>
      <c r="P22">
        <v>1024</v>
      </c>
      <c r="Q22">
        <v>0</v>
      </c>
      <c r="R22" t="str" cm="1">
        <f t="array" ref="R22">IFERROR(
    LOOKUP(2^15, SEARCH({"16","18","14"}, D22), {"16","18","14"}),
    ""
)</f>
        <v>18</v>
      </c>
      <c r="S22">
        <v>1</v>
      </c>
      <c r="T22">
        <v>7</v>
      </c>
      <c r="U22">
        <v>0</v>
      </c>
      <c r="Y22" t="s">
        <v>20</v>
      </c>
    </row>
    <row r="23" spans="2:25" x14ac:dyDescent="0.45">
      <c r="B23" t="s">
        <v>54</v>
      </c>
      <c r="C23" t="s">
        <v>110</v>
      </c>
      <c r="D23" t="s">
        <v>89</v>
      </c>
      <c r="H23">
        <v>0</v>
      </c>
      <c r="L23" t="str">
        <f t="shared" si="0"/>
        <v>R7 350</v>
      </c>
      <c r="M23" t="str">
        <f t="shared" si="1"/>
        <v>5070</v>
      </c>
      <c r="N23">
        <v>32</v>
      </c>
      <c r="O23" t="s">
        <v>117</v>
      </c>
      <c r="P23">
        <v>1024</v>
      </c>
      <c r="Q23">
        <v>0</v>
      </c>
      <c r="R23" t="str" cm="1">
        <f t="array" ref="R23">IFERROR(
    LOOKUP(2^15, SEARCH({"16","18","14"}, D23), {"16","18","14"}),
    ""
)</f>
        <v>18</v>
      </c>
      <c r="S23">
        <v>1</v>
      </c>
      <c r="T23">
        <v>7</v>
      </c>
      <c r="U23">
        <v>0</v>
      </c>
      <c r="Y23" t="s">
        <v>20</v>
      </c>
    </row>
    <row r="24" spans="2:25" x14ac:dyDescent="0.45">
      <c r="B24" s="1" t="s">
        <v>133</v>
      </c>
      <c r="C24" t="s">
        <v>109</v>
      </c>
      <c r="D24" t="s">
        <v>30</v>
      </c>
      <c r="H24">
        <v>0</v>
      </c>
      <c r="L24" t="str">
        <f t="shared" si="0"/>
        <v>R7 350</v>
      </c>
      <c r="M24" t="str">
        <f t="shared" si="1"/>
        <v>5060</v>
      </c>
      <c r="N24">
        <v>32</v>
      </c>
      <c r="O24" t="s">
        <v>132</v>
      </c>
      <c r="P24">
        <v>1024</v>
      </c>
      <c r="Q24">
        <v>0</v>
      </c>
      <c r="R24" t="str" cm="1">
        <f t="array" ref="R24">IFERROR(
    LOOKUP(2^15, SEARCH({"16","18","14"}, D24), {"16","18","14"}),
    ""
)</f>
        <v>14</v>
      </c>
      <c r="S24">
        <v>9</v>
      </c>
      <c r="T24">
        <v>6</v>
      </c>
      <c r="U24">
        <v>0</v>
      </c>
      <c r="Y24" t="s">
        <v>16</v>
      </c>
    </row>
    <row r="25" spans="2:25" x14ac:dyDescent="0.45">
      <c r="B25" t="s">
        <v>103</v>
      </c>
      <c r="C25" t="s">
        <v>113</v>
      </c>
      <c r="D25" t="s">
        <v>25</v>
      </c>
      <c r="H25">
        <v>0</v>
      </c>
      <c r="L25" t="str">
        <f t="shared" si="0"/>
        <v>R7 350</v>
      </c>
      <c r="M25" t="str">
        <f t="shared" si="1"/>
        <v>5060</v>
      </c>
      <c r="N25">
        <v>32</v>
      </c>
      <c r="O25" t="s">
        <v>130</v>
      </c>
      <c r="P25">
        <v>512</v>
      </c>
      <c r="Q25">
        <v>0</v>
      </c>
      <c r="R25" t="str" cm="1">
        <f t="array" ref="R25">IFERROR(
    LOOKUP(2^15, SEARCH({"16","18","14"}, D25), {"16","18","14"}),
    ""
)</f>
        <v>16</v>
      </c>
      <c r="S25">
        <v>3</v>
      </c>
      <c r="T25">
        <v>7</v>
      </c>
      <c r="U25">
        <v>0</v>
      </c>
      <c r="Y25" t="s">
        <v>16</v>
      </c>
    </row>
    <row r="26" spans="2:25" x14ac:dyDescent="0.45">
      <c r="B26" t="s">
        <v>72</v>
      </c>
      <c r="C26" t="s">
        <v>113</v>
      </c>
      <c r="D26" t="s">
        <v>73</v>
      </c>
      <c r="H26">
        <v>0</v>
      </c>
      <c r="L26" t="str">
        <f t="shared" si="0"/>
        <v>R7 350</v>
      </c>
      <c r="M26" t="str">
        <f t="shared" si="1"/>
        <v>5060</v>
      </c>
      <c r="N26">
        <v>32</v>
      </c>
      <c r="O26" t="s">
        <v>130</v>
      </c>
      <c r="P26">
        <v>512</v>
      </c>
      <c r="Q26">
        <v>0</v>
      </c>
      <c r="R26">
        <v>17.3</v>
      </c>
      <c r="S26">
        <v>1</v>
      </c>
      <c r="T26">
        <v>7</v>
      </c>
      <c r="U26">
        <v>0</v>
      </c>
      <c r="Y26" t="s">
        <v>116</v>
      </c>
    </row>
    <row r="27" spans="2:25" x14ac:dyDescent="0.45">
      <c r="B27" t="s">
        <v>118</v>
      </c>
      <c r="C27" t="s">
        <v>113</v>
      </c>
      <c r="D27" t="s">
        <v>66</v>
      </c>
      <c r="H27">
        <v>0</v>
      </c>
      <c r="L27" t="str">
        <f t="shared" si="0"/>
        <v>R7 350</v>
      </c>
      <c r="M27" t="str">
        <f t="shared" si="1"/>
        <v>5070 Ti</v>
      </c>
      <c r="N27">
        <v>32</v>
      </c>
      <c r="O27" t="s">
        <v>130</v>
      </c>
      <c r="P27">
        <v>1024</v>
      </c>
      <c r="Q27">
        <v>1</v>
      </c>
      <c r="R27" t="str" cm="1">
        <f t="array" ref="R27">IFERROR(
    LOOKUP(2^15, SEARCH({"16","18","14"}, D27), {"16","18","14"}),
    ""
)</f>
        <v>16</v>
      </c>
      <c r="S27">
        <v>1</v>
      </c>
      <c r="T27">
        <v>7</v>
      </c>
      <c r="U27">
        <v>0</v>
      </c>
      <c r="Y27" t="s">
        <v>16</v>
      </c>
    </row>
    <row r="28" spans="2:25" x14ac:dyDescent="0.45">
      <c r="B28" s="1" t="s">
        <v>154</v>
      </c>
      <c r="C28" t="s">
        <v>112</v>
      </c>
      <c r="D28" t="s">
        <v>24</v>
      </c>
      <c r="H28">
        <v>0</v>
      </c>
      <c r="L28" t="str">
        <f t="shared" si="0"/>
        <v>R7 350</v>
      </c>
      <c r="M28" t="str">
        <f t="shared" si="1"/>
        <v>5070</v>
      </c>
      <c r="N28">
        <v>32</v>
      </c>
      <c r="O28" t="s">
        <v>130</v>
      </c>
      <c r="P28">
        <v>1024</v>
      </c>
      <c r="Q28">
        <v>0</v>
      </c>
      <c r="R28">
        <v>15.1</v>
      </c>
      <c r="S28">
        <v>6</v>
      </c>
      <c r="T28">
        <v>8</v>
      </c>
      <c r="U28">
        <v>0</v>
      </c>
      <c r="Y28" t="s">
        <v>16</v>
      </c>
    </row>
    <row r="29" spans="2:25" x14ac:dyDescent="0.45">
      <c r="B29" t="s">
        <v>119</v>
      </c>
      <c r="C29" t="s">
        <v>113</v>
      </c>
      <c r="D29" t="s">
        <v>64</v>
      </c>
      <c r="H29">
        <v>0</v>
      </c>
      <c r="L29" t="str">
        <f t="shared" si="0"/>
        <v>R9 375HX</v>
      </c>
      <c r="M29" t="str">
        <f t="shared" si="1"/>
        <v>5060</v>
      </c>
      <c r="N29">
        <v>32</v>
      </c>
      <c r="O29" t="s">
        <v>130</v>
      </c>
      <c r="P29">
        <v>512</v>
      </c>
      <c r="Q29">
        <v>1</v>
      </c>
      <c r="R29" t="str" cm="1">
        <f t="array" ref="R29">IFERROR(
    LOOKUP(2^15, SEARCH({"16","18","14"}, D29), {"16","18","14"}),
    ""
)</f>
        <v>16</v>
      </c>
      <c r="S29">
        <v>2</v>
      </c>
      <c r="T29">
        <v>7</v>
      </c>
      <c r="U29">
        <v>0</v>
      </c>
      <c r="Y29" t="s">
        <v>16</v>
      </c>
    </row>
    <row r="30" spans="2:25" x14ac:dyDescent="0.45">
      <c r="B30" t="s">
        <v>120</v>
      </c>
      <c r="C30" t="s">
        <v>113</v>
      </c>
      <c r="D30" t="s">
        <v>75</v>
      </c>
      <c r="H30">
        <v>0</v>
      </c>
      <c r="L30" t="str">
        <f t="shared" si="0"/>
        <v>R9 375HX</v>
      </c>
      <c r="M30" t="str">
        <f t="shared" si="1"/>
        <v>5080</v>
      </c>
      <c r="N30">
        <v>32</v>
      </c>
      <c r="O30" t="s">
        <v>130</v>
      </c>
      <c r="P30">
        <v>1024</v>
      </c>
      <c r="Q30">
        <v>1</v>
      </c>
      <c r="R30" t="str" cm="1">
        <f t="array" ref="R30">IFERROR(
    LOOKUP(2^15, SEARCH({"16","18","14"}, D30), {"16","18","14"}),
    ""
)</f>
        <v>16</v>
      </c>
      <c r="S30">
        <v>1</v>
      </c>
      <c r="T30">
        <v>7</v>
      </c>
      <c r="U30">
        <v>0</v>
      </c>
      <c r="Y30" t="s">
        <v>16</v>
      </c>
    </row>
    <row r="31" spans="2:25" x14ac:dyDescent="0.45">
      <c r="B31" t="s">
        <v>40</v>
      </c>
      <c r="C31" t="s">
        <v>109</v>
      </c>
      <c r="D31" t="s">
        <v>43</v>
      </c>
      <c r="H31">
        <v>0</v>
      </c>
      <c r="L31" t="str">
        <f t="shared" si="0"/>
        <v>R9 8940HX</v>
      </c>
      <c r="M31" t="str">
        <f t="shared" si="1"/>
        <v>5070</v>
      </c>
      <c r="N31">
        <v>16</v>
      </c>
      <c r="O31" t="s">
        <v>128</v>
      </c>
      <c r="P31">
        <v>512</v>
      </c>
      <c r="Q31">
        <v>0</v>
      </c>
      <c r="R31" t="str" cm="1">
        <f t="array" ref="R31">IFERROR(
    LOOKUP(2^15, SEARCH({"16","18","14"}, D31), {"16","18","14"}),
    ""
)</f>
        <v>16</v>
      </c>
      <c r="S31">
        <v>5</v>
      </c>
      <c r="T31">
        <v>6</v>
      </c>
      <c r="U31">
        <v>1</v>
      </c>
      <c r="Y31" t="s">
        <v>16</v>
      </c>
    </row>
    <row r="32" spans="2:25" x14ac:dyDescent="0.45">
      <c r="B32" s="1" t="s">
        <v>27</v>
      </c>
      <c r="C32" t="s">
        <v>113</v>
      </c>
      <c r="D32" t="s">
        <v>28</v>
      </c>
      <c r="H32">
        <v>0</v>
      </c>
      <c r="L32" t="str">
        <f t="shared" si="0"/>
        <v>R9 8940HX</v>
      </c>
      <c r="M32" t="str">
        <f t="shared" si="1"/>
        <v>5060</v>
      </c>
      <c r="N32">
        <v>32</v>
      </c>
      <c r="O32" t="s">
        <v>130</v>
      </c>
      <c r="P32">
        <v>1024</v>
      </c>
      <c r="Q32">
        <v>0</v>
      </c>
      <c r="R32" t="str" cm="1">
        <f t="array" ref="R32">IFERROR(
    LOOKUP(2^15, SEARCH({"16","18","14"}, D32), {"16","18","14"}),
    ""
)</f>
        <v>16</v>
      </c>
      <c r="S32">
        <v>3</v>
      </c>
      <c r="T32">
        <v>7</v>
      </c>
      <c r="U32">
        <v>1</v>
      </c>
      <c r="Y32" t="s">
        <v>16</v>
      </c>
    </row>
    <row r="33" spans="2:25" x14ac:dyDescent="0.45">
      <c r="B33" t="s">
        <v>108</v>
      </c>
      <c r="C33" t="s">
        <v>111</v>
      </c>
      <c r="D33" t="s">
        <v>76</v>
      </c>
      <c r="H33">
        <v>0</v>
      </c>
      <c r="L33" t="str">
        <f t="shared" si="0"/>
        <v>R9 9955HX</v>
      </c>
      <c r="M33" t="str">
        <f t="shared" si="1"/>
        <v>5080</v>
      </c>
      <c r="N33">
        <v>16</v>
      </c>
      <c r="O33" t="s">
        <v>130</v>
      </c>
      <c r="P33">
        <v>1024</v>
      </c>
      <c r="Q33">
        <v>0</v>
      </c>
      <c r="R33" t="str" cm="1">
        <f t="array" ref="R33">IFERROR(
    LOOKUP(2^15, SEARCH({"16","18","14"}, D33), {"16","18","14"}),
    ""
)</f>
        <v>18</v>
      </c>
      <c r="S33">
        <v>1</v>
      </c>
      <c r="T33">
        <v>8</v>
      </c>
      <c r="U33">
        <v>1</v>
      </c>
      <c r="V33">
        <v>360</v>
      </c>
      <c r="W33">
        <v>99</v>
      </c>
      <c r="Y33" t="s">
        <v>16</v>
      </c>
    </row>
    <row r="34" spans="2:25" x14ac:dyDescent="0.45">
      <c r="B34" t="s">
        <v>55</v>
      </c>
      <c r="C34" t="s">
        <v>109</v>
      </c>
      <c r="D34" t="s">
        <v>127</v>
      </c>
      <c r="F34">
        <v>1</v>
      </c>
      <c r="H34">
        <v>0</v>
      </c>
      <c r="L34" t="str">
        <f t="shared" ref="L34:L52" si="2">TRIM(MID(D34, FIND(",", D34)+1, FIND("/", D34)-FIND(",", D34)-1))</f>
        <v>R9 9955HX3D</v>
      </c>
      <c r="M34" t="str">
        <f t="shared" ref="M34:M56" si="3">_xlfn.LET(
    _xlpm.txt, TRIM(MID(D34, FIND("/", D34)+1, LEN(D34))),
    IFERROR(LEFT(_xlpm.txt, FIND("Ti", _xlpm.txt)+1), LEFT(_xlpm.txt, FIND(" ", _xlpm.txt&amp;" ")-1))
)</f>
        <v>5070 Ti</v>
      </c>
      <c r="N34">
        <v>16</v>
      </c>
      <c r="O34" t="s">
        <v>128</v>
      </c>
      <c r="P34">
        <v>1024</v>
      </c>
      <c r="Q34">
        <v>0</v>
      </c>
      <c r="R34" t="str" cm="1">
        <f t="array" ref="R34">IFERROR(
    LOOKUP(2^15, SEARCH({"16","18","14"}, D34), {"16","18","14"}),
    ""
)</f>
        <v>16</v>
      </c>
      <c r="S34">
        <v>2</v>
      </c>
      <c r="T34">
        <v>8</v>
      </c>
      <c r="U34">
        <v>1</v>
      </c>
      <c r="Y34" t="s">
        <v>16</v>
      </c>
    </row>
    <row r="35" spans="2:25" x14ac:dyDescent="0.45">
      <c r="B35" t="s">
        <v>56</v>
      </c>
      <c r="C35" t="s">
        <v>109</v>
      </c>
      <c r="D35" t="s">
        <v>127</v>
      </c>
      <c r="E35" t="s">
        <v>57</v>
      </c>
      <c r="F35">
        <v>2</v>
      </c>
      <c r="H35">
        <v>0</v>
      </c>
      <c r="L35" t="str">
        <f t="shared" si="2"/>
        <v>R9 9955HX3D</v>
      </c>
      <c r="M35" t="str">
        <f t="shared" si="3"/>
        <v>5070 Ti</v>
      </c>
      <c r="N35">
        <v>16</v>
      </c>
      <c r="O35" t="s">
        <v>128</v>
      </c>
      <c r="P35">
        <v>1024</v>
      </c>
      <c r="Q35">
        <v>0</v>
      </c>
      <c r="R35" t="str" cm="1">
        <f t="array" ref="R35">IFERROR(
    LOOKUP(2^15, SEARCH({"16","18","14"}, D35), {"16","18","14"}),
    ""
)</f>
        <v>16</v>
      </c>
      <c r="S35">
        <v>2</v>
      </c>
      <c r="T35">
        <v>8</v>
      </c>
      <c r="U35">
        <v>1</v>
      </c>
      <c r="Y35" t="s">
        <v>16</v>
      </c>
    </row>
    <row r="36" spans="2:25" x14ac:dyDescent="0.45">
      <c r="B36" s="1" t="s">
        <v>26</v>
      </c>
      <c r="C36" t="s">
        <v>113</v>
      </c>
      <c r="D36" t="s">
        <v>138</v>
      </c>
      <c r="H36">
        <v>0</v>
      </c>
      <c r="L36" t="str">
        <f t="shared" si="2"/>
        <v>U7 255H</v>
      </c>
      <c r="M36" t="str">
        <f t="shared" si="3"/>
        <v>5060</v>
      </c>
      <c r="N36">
        <v>24</v>
      </c>
      <c r="O36" t="s">
        <v>128</v>
      </c>
      <c r="P36">
        <v>1024</v>
      </c>
      <c r="Q36">
        <v>0</v>
      </c>
      <c r="R36" t="str" cm="1">
        <f t="array" ref="R36">IFERROR(
    LOOKUP(2^15, SEARCH({"16","18","14"}, D36), {"16","18","14"}),
    ""
)</f>
        <v>16</v>
      </c>
      <c r="S36">
        <v>3</v>
      </c>
      <c r="T36">
        <v>7</v>
      </c>
      <c r="U36">
        <v>0</v>
      </c>
      <c r="Y36" t="s">
        <v>16</v>
      </c>
    </row>
    <row r="37" spans="2:25" x14ac:dyDescent="0.45">
      <c r="B37" t="s">
        <v>71</v>
      </c>
      <c r="C37" t="s">
        <v>111</v>
      </c>
      <c r="D37" t="s">
        <v>101</v>
      </c>
      <c r="H37">
        <v>0</v>
      </c>
      <c r="L37" t="str">
        <f t="shared" si="2"/>
        <v>U7 275HX</v>
      </c>
      <c r="M37" t="str">
        <f t="shared" si="3"/>
        <v>5070 Ti</v>
      </c>
      <c r="N37">
        <v>16</v>
      </c>
      <c r="O37" t="s">
        <v>130</v>
      </c>
      <c r="P37">
        <v>1024</v>
      </c>
      <c r="Q37">
        <v>0</v>
      </c>
      <c r="R37" t="str" cm="1">
        <f t="array" ref="R37">IFERROR(
    LOOKUP(2^15, SEARCH({"16","18","14"}, D37), {"16","18","14"}),
    ""
)</f>
        <v>16</v>
      </c>
      <c r="S37">
        <v>1</v>
      </c>
      <c r="T37">
        <v>8</v>
      </c>
      <c r="U37">
        <v>1</v>
      </c>
      <c r="V37">
        <v>270</v>
      </c>
      <c r="W37">
        <v>90</v>
      </c>
      <c r="Y37" t="s">
        <v>16</v>
      </c>
    </row>
    <row r="38" spans="2:25" x14ac:dyDescent="0.45">
      <c r="B38" t="s">
        <v>70</v>
      </c>
      <c r="C38" t="s">
        <v>111</v>
      </c>
      <c r="D38" t="s">
        <v>96</v>
      </c>
      <c r="H38">
        <v>0</v>
      </c>
      <c r="L38" t="str">
        <f t="shared" si="2"/>
        <v>U7 275HX</v>
      </c>
      <c r="M38" t="str">
        <f t="shared" si="3"/>
        <v>5080</v>
      </c>
      <c r="N38">
        <v>16</v>
      </c>
      <c r="O38" t="s">
        <v>130</v>
      </c>
      <c r="P38">
        <v>1024</v>
      </c>
      <c r="Q38">
        <v>0</v>
      </c>
      <c r="R38" t="str" cm="1">
        <f t="array" ref="R38">IFERROR(
    LOOKUP(2^15, SEARCH({"16","18","14"}, D38), {"16","18","14"}),
    ""
)</f>
        <v>16</v>
      </c>
      <c r="S38">
        <v>1</v>
      </c>
      <c r="T38">
        <v>8</v>
      </c>
      <c r="U38">
        <v>1</v>
      </c>
      <c r="V38">
        <v>270</v>
      </c>
      <c r="W38">
        <v>90</v>
      </c>
      <c r="Y38" t="s">
        <v>16</v>
      </c>
    </row>
    <row r="39" spans="2:25" x14ac:dyDescent="0.45">
      <c r="B39" t="s">
        <v>49</v>
      </c>
      <c r="C39" t="s">
        <v>110</v>
      </c>
      <c r="D39" t="s">
        <v>86</v>
      </c>
      <c r="H39">
        <v>0</v>
      </c>
      <c r="L39" t="str">
        <f t="shared" si="2"/>
        <v>U9 275HX</v>
      </c>
      <c r="M39" t="str">
        <f t="shared" si="3"/>
        <v>5060</v>
      </c>
      <c r="N39">
        <v>32</v>
      </c>
      <c r="O39" t="s">
        <v>117</v>
      </c>
      <c r="P39">
        <v>1024</v>
      </c>
      <c r="Q39">
        <v>0</v>
      </c>
      <c r="R39" t="str" cm="1">
        <f t="array" ref="R39">IFERROR(
    LOOKUP(2^15, SEARCH({"16","18","14"}, D39), {"16","18","14"}),
    ""
)</f>
        <v>16</v>
      </c>
      <c r="S39">
        <v>6</v>
      </c>
      <c r="T39">
        <v>9</v>
      </c>
      <c r="U39">
        <v>1</v>
      </c>
      <c r="Y39" t="s">
        <v>16</v>
      </c>
    </row>
    <row r="40" spans="2:25" x14ac:dyDescent="0.45">
      <c r="B40" t="s">
        <v>52</v>
      </c>
      <c r="C40" t="s">
        <v>110</v>
      </c>
      <c r="D40" t="s">
        <v>87</v>
      </c>
      <c r="H40">
        <v>0</v>
      </c>
      <c r="L40" t="str">
        <f t="shared" si="2"/>
        <v>U9 275HX</v>
      </c>
      <c r="M40" t="str">
        <f t="shared" si="3"/>
        <v>5070</v>
      </c>
      <c r="N40">
        <v>32</v>
      </c>
      <c r="O40" t="s">
        <v>117</v>
      </c>
      <c r="P40">
        <v>1024</v>
      </c>
      <c r="Q40">
        <v>0</v>
      </c>
      <c r="R40" t="str" cm="1">
        <f t="array" ref="R40">IFERROR(
    LOOKUP(2^15, SEARCH({"16","18","14"}, D40), {"16","18","14"}),
    ""
)</f>
        <v>16</v>
      </c>
      <c r="S40">
        <v>3</v>
      </c>
      <c r="T40">
        <v>8</v>
      </c>
      <c r="U40">
        <v>1</v>
      </c>
      <c r="Y40" t="s">
        <v>16</v>
      </c>
    </row>
    <row r="41" spans="2:25" x14ac:dyDescent="0.45">
      <c r="C41" t="s">
        <v>110</v>
      </c>
      <c r="D41" t="s">
        <v>97</v>
      </c>
      <c r="H41">
        <v>0</v>
      </c>
      <c r="L41" t="str">
        <f t="shared" si="2"/>
        <v>U9 275HX</v>
      </c>
      <c r="M41" t="str">
        <f t="shared" si="3"/>
        <v>5070 Ti</v>
      </c>
      <c r="N41">
        <v>32</v>
      </c>
      <c r="O41" t="s">
        <v>117</v>
      </c>
      <c r="P41">
        <v>1024</v>
      </c>
      <c r="Q41">
        <v>0</v>
      </c>
      <c r="R41" t="str" cm="1">
        <f t="array" ref="R41">IFERROR(
    LOOKUP(2^15, SEARCH({"16","18","14"}, D41), {"16","18","14"}),
    ""
)</f>
        <v>16</v>
      </c>
      <c r="S41">
        <v>3</v>
      </c>
      <c r="T41">
        <v>8</v>
      </c>
      <c r="U41">
        <v>1</v>
      </c>
      <c r="Y41" t="s">
        <v>16</v>
      </c>
    </row>
    <row r="42" spans="2:25" x14ac:dyDescent="0.45">
      <c r="B42" t="s">
        <v>51</v>
      </c>
      <c r="C42" t="s">
        <v>110</v>
      </c>
      <c r="D42" t="s">
        <v>98</v>
      </c>
      <c r="H42">
        <v>0</v>
      </c>
      <c r="L42" t="str">
        <f t="shared" si="2"/>
        <v>U9 275HX</v>
      </c>
      <c r="M42" t="str">
        <f t="shared" si="3"/>
        <v>5070 Ti</v>
      </c>
      <c r="N42">
        <v>32</v>
      </c>
      <c r="O42" t="s">
        <v>117</v>
      </c>
      <c r="P42">
        <v>1024</v>
      </c>
      <c r="Q42">
        <v>0</v>
      </c>
      <c r="R42" t="str" cm="1">
        <f t="array" ref="R42">IFERROR(
    LOOKUP(2^15, SEARCH({"16","18","14"}, D42), {"16","18","14"}),
    ""
)</f>
        <v>18</v>
      </c>
      <c r="S42">
        <v>1</v>
      </c>
      <c r="T42">
        <v>8</v>
      </c>
      <c r="U42">
        <v>1</v>
      </c>
      <c r="Y42" t="s">
        <v>16</v>
      </c>
    </row>
    <row r="43" spans="2:25" x14ac:dyDescent="0.45">
      <c r="B43" t="s">
        <v>129</v>
      </c>
      <c r="C43" t="s">
        <v>109</v>
      </c>
      <c r="D43" t="s">
        <v>74</v>
      </c>
      <c r="H43">
        <v>0</v>
      </c>
      <c r="L43" t="str">
        <f t="shared" si="2"/>
        <v>U9 275HX</v>
      </c>
      <c r="M43" t="str">
        <f t="shared" si="3"/>
        <v>5080</v>
      </c>
      <c r="N43">
        <v>32</v>
      </c>
      <c r="O43" t="s">
        <v>130</v>
      </c>
      <c r="P43">
        <v>1024</v>
      </c>
      <c r="Q43">
        <v>0</v>
      </c>
      <c r="R43" t="str" cm="1">
        <f t="array" ref="R43">IFERROR(
    LOOKUP(2^15, SEARCH({"16","18","14"}, D43), {"16","18","14"}),
    ""
)</f>
        <v>16</v>
      </c>
      <c r="S43">
        <v>2</v>
      </c>
      <c r="T43">
        <v>8</v>
      </c>
      <c r="U43">
        <v>1</v>
      </c>
      <c r="Y43" t="s">
        <v>16</v>
      </c>
    </row>
    <row r="44" spans="2:25" x14ac:dyDescent="0.45">
      <c r="B44" t="s">
        <v>63</v>
      </c>
      <c r="C44" t="s">
        <v>109</v>
      </c>
      <c r="D44" t="s">
        <v>94</v>
      </c>
      <c r="H44">
        <v>0</v>
      </c>
      <c r="L44" t="str">
        <f t="shared" si="2"/>
        <v>U9 275HX</v>
      </c>
      <c r="M44" t="str">
        <f t="shared" si="3"/>
        <v>5070</v>
      </c>
      <c r="N44">
        <v>32</v>
      </c>
      <c r="O44" t="s">
        <v>130</v>
      </c>
      <c r="P44">
        <v>1024</v>
      </c>
      <c r="Q44">
        <v>0</v>
      </c>
      <c r="R44" t="str" cm="1">
        <f t="array" ref="R44">IFERROR(
    LOOKUP(2^15, SEARCH({"16","18","14"}, D44), {"16","18","14"}),
    ""
)</f>
        <v>18</v>
      </c>
      <c r="S44">
        <v>1</v>
      </c>
      <c r="T44">
        <v>8</v>
      </c>
      <c r="U44">
        <v>1</v>
      </c>
      <c r="Y44" t="s">
        <v>16</v>
      </c>
    </row>
    <row r="45" spans="2:25" x14ac:dyDescent="0.45">
      <c r="B45" t="s">
        <v>62</v>
      </c>
      <c r="C45" t="s">
        <v>109</v>
      </c>
      <c r="D45" t="s">
        <v>100</v>
      </c>
      <c r="H45">
        <v>0</v>
      </c>
      <c r="L45" t="str">
        <f t="shared" si="2"/>
        <v>U9 275HX</v>
      </c>
      <c r="M45" t="str">
        <f t="shared" si="3"/>
        <v>5070 Ti</v>
      </c>
      <c r="N45">
        <v>32</v>
      </c>
      <c r="O45" t="s">
        <v>130</v>
      </c>
      <c r="P45">
        <v>1024</v>
      </c>
      <c r="Q45">
        <v>0</v>
      </c>
      <c r="R45" t="str" cm="1">
        <f t="array" ref="R45">IFERROR(
    LOOKUP(2^15, SEARCH({"16","18","14"}, D45), {"16","18","14"}),
    ""
)</f>
        <v>18</v>
      </c>
      <c r="S45">
        <v>1</v>
      </c>
      <c r="T45">
        <v>8</v>
      </c>
      <c r="U45">
        <v>1</v>
      </c>
      <c r="Y45" t="s">
        <v>16</v>
      </c>
    </row>
    <row r="46" spans="2:25" x14ac:dyDescent="0.45">
      <c r="B46" t="s">
        <v>121</v>
      </c>
      <c r="C46" t="s">
        <v>113</v>
      </c>
      <c r="D46" t="s">
        <v>65</v>
      </c>
      <c r="H46">
        <v>0</v>
      </c>
      <c r="L46" t="str">
        <f t="shared" si="2"/>
        <v>U9 275HX</v>
      </c>
      <c r="M46" t="str">
        <f t="shared" si="3"/>
        <v>5070</v>
      </c>
      <c r="N46">
        <v>32</v>
      </c>
      <c r="O46" t="s">
        <v>130</v>
      </c>
      <c r="P46">
        <v>1024</v>
      </c>
      <c r="Q46">
        <v>1</v>
      </c>
      <c r="R46" t="str" cm="1">
        <f t="array" ref="R46">IFERROR(
    LOOKUP(2^15, SEARCH({"16","18","14"}, D46), {"16","18","14"}),
    ""
)</f>
        <v>16</v>
      </c>
      <c r="S46">
        <v>2</v>
      </c>
      <c r="T46">
        <v>7</v>
      </c>
      <c r="U46">
        <v>1</v>
      </c>
      <c r="Y46" t="s">
        <v>16</v>
      </c>
    </row>
    <row r="47" spans="2:25" x14ac:dyDescent="0.45">
      <c r="B47" t="s">
        <v>122</v>
      </c>
      <c r="C47" t="s">
        <v>113</v>
      </c>
      <c r="D47" t="s">
        <v>67</v>
      </c>
      <c r="H47">
        <v>0</v>
      </c>
      <c r="L47" t="str">
        <f t="shared" si="2"/>
        <v>U9 275HX</v>
      </c>
      <c r="M47" t="str">
        <f t="shared" si="3"/>
        <v>5070 Ti</v>
      </c>
      <c r="N47">
        <v>32</v>
      </c>
      <c r="O47" t="s">
        <v>130</v>
      </c>
      <c r="P47">
        <v>1024</v>
      </c>
      <c r="Q47">
        <v>1</v>
      </c>
      <c r="R47" t="str" cm="1">
        <f t="array" ref="R47">IFERROR(
    LOOKUP(2^15, SEARCH({"16","18","14"}, D47), {"16","18","14"}),
    ""
)</f>
        <v>16</v>
      </c>
      <c r="S47">
        <v>1</v>
      </c>
      <c r="T47">
        <v>7</v>
      </c>
      <c r="U47">
        <v>1</v>
      </c>
      <c r="Y47" t="s">
        <v>16</v>
      </c>
    </row>
    <row r="48" spans="2:25" x14ac:dyDescent="0.45">
      <c r="B48" t="s">
        <v>60</v>
      </c>
      <c r="C48" t="s">
        <v>112</v>
      </c>
      <c r="D48" t="s">
        <v>93</v>
      </c>
      <c r="H48">
        <v>0</v>
      </c>
      <c r="L48" t="str">
        <f t="shared" si="2"/>
        <v>U9 275HX</v>
      </c>
      <c r="M48" t="str">
        <f t="shared" si="3"/>
        <v>5070</v>
      </c>
      <c r="N48">
        <v>32</v>
      </c>
      <c r="O48" t="s">
        <v>130</v>
      </c>
      <c r="P48">
        <v>1024</v>
      </c>
      <c r="Q48">
        <v>0</v>
      </c>
      <c r="R48" t="str" cm="1">
        <f t="array" ref="R48">IFERROR(
    LOOKUP(2^15, SEARCH({"16","18","14"}, D48), {"16","18","14"}),
    ""
)</f>
        <v>16</v>
      </c>
      <c r="S48">
        <v>7</v>
      </c>
      <c r="T48">
        <v>9</v>
      </c>
      <c r="U48">
        <v>1</v>
      </c>
      <c r="Y48" t="s">
        <v>16</v>
      </c>
    </row>
    <row r="49" spans="2:25" x14ac:dyDescent="0.45">
      <c r="B49" t="s">
        <v>59</v>
      </c>
      <c r="C49" t="s">
        <v>112</v>
      </c>
      <c r="D49" t="s">
        <v>115</v>
      </c>
      <c r="H49">
        <v>0</v>
      </c>
      <c r="L49" t="str">
        <f t="shared" si="2"/>
        <v>U9 275HX</v>
      </c>
      <c r="M49" t="str">
        <f t="shared" si="3"/>
        <v>5070</v>
      </c>
      <c r="N49">
        <v>32</v>
      </c>
      <c r="O49" t="s">
        <v>130</v>
      </c>
      <c r="P49">
        <v>1024</v>
      </c>
      <c r="Q49">
        <v>0</v>
      </c>
      <c r="R49" t="str" cm="1">
        <f t="array" ref="R49">IFERROR(
    LOOKUP(2^15, SEARCH({"16","18","14"}, D49), {"16","18","14"}),
    ""
)</f>
        <v>16</v>
      </c>
      <c r="S49">
        <v>3</v>
      </c>
      <c r="T49">
        <v>8</v>
      </c>
      <c r="U49">
        <v>1</v>
      </c>
      <c r="V49">
        <v>243</v>
      </c>
      <c r="W49">
        <v>80</v>
      </c>
      <c r="Y49" t="s">
        <v>16</v>
      </c>
    </row>
    <row r="50" spans="2:25" x14ac:dyDescent="0.45">
      <c r="B50" t="s">
        <v>58</v>
      </c>
      <c r="C50" t="s">
        <v>112</v>
      </c>
      <c r="D50" t="s">
        <v>99</v>
      </c>
      <c r="H50">
        <v>0</v>
      </c>
      <c r="L50" t="str">
        <f t="shared" si="2"/>
        <v>U9 275HX</v>
      </c>
      <c r="M50" t="str">
        <f t="shared" si="3"/>
        <v>5070 Ti</v>
      </c>
      <c r="N50">
        <v>32</v>
      </c>
      <c r="O50" t="s">
        <v>130</v>
      </c>
      <c r="P50">
        <v>1024</v>
      </c>
      <c r="Q50">
        <v>0</v>
      </c>
      <c r="R50" t="str" cm="1">
        <f t="array" ref="R50">IFERROR(
    LOOKUP(2^15, SEARCH({"16","18","14"}, D50), {"16","18","14"}),
    ""
)</f>
        <v>16</v>
      </c>
      <c r="S50">
        <v>3</v>
      </c>
      <c r="T50">
        <v>9</v>
      </c>
      <c r="U50">
        <v>1</v>
      </c>
      <c r="V50">
        <v>243</v>
      </c>
      <c r="W50">
        <v>80</v>
      </c>
      <c r="Y50" t="s">
        <v>16</v>
      </c>
    </row>
    <row r="51" spans="2:25" x14ac:dyDescent="0.45">
      <c r="B51" t="s">
        <v>77</v>
      </c>
      <c r="C51" t="s">
        <v>112</v>
      </c>
      <c r="D51" t="s">
        <v>114</v>
      </c>
      <c r="H51">
        <v>0</v>
      </c>
      <c r="L51" t="str">
        <f t="shared" si="2"/>
        <v>U9 275HX</v>
      </c>
      <c r="M51" t="str">
        <f t="shared" si="3"/>
        <v>5080</v>
      </c>
      <c r="N51">
        <v>32</v>
      </c>
      <c r="O51" t="s">
        <v>130</v>
      </c>
      <c r="P51">
        <v>1024</v>
      </c>
      <c r="Q51">
        <v>0</v>
      </c>
      <c r="R51" t="str" cm="1">
        <f t="array" ref="R51">IFERROR(
    LOOKUP(2^15, SEARCH({"16","18","14"}, D51), {"16","18","14"}),
    ""
)</f>
        <v>16</v>
      </c>
      <c r="S51">
        <v>2</v>
      </c>
      <c r="T51">
        <v>9</v>
      </c>
      <c r="U51">
        <v>1</v>
      </c>
      <c r="V51">
        <v>257</v>
      </c>
      <c r="W51">
        <v>80</v>
      </c>
      <c r="Y51" t="s">
        <v>16</v>
      </c>
    </row>
    <row r="52" spans="2:25" x14ac:dyDescent="0.45">
      <c r="B52" t="s">
        <v>61</v>
      </c>
      <c r="C52" t="s">
        <v>112</v>
      </c>
      <c r="D52" t="s">
        <v>136</v>
      </c>
      <c r="H52">
        <v>0</v>
      </c>
      <c r="L52" t="str">
        <f t="shared" si="2"/>
        <v>U9 275HX</v>
      </c>
      <c r="M52" t="str">
        <f t="shared" si="3"/>
        <v>5070 Ti</v>
      </c>
      <c r="N52">
        <v>32</v>
      </c>
      <c r="O52" t="s">
        <v>130</v>
      </c>
      <c r="P52">
        <v>1024</v>
      </c>
      <c r="Q52">
        <v>0</v>
      </c>
      <c r="R52" t="str" cm="1">
        <f t="array" ref="R52">IFERROR(
    LOOKUP(2^15, SEARCH({"16","18","14"}, D52), {"16","18","14"}),
    ""
)</f>
        <v>16</v>
      </c>
      <c r="S52">
        <v>2</v>
      </c>
      <c r="T52">
        <v>9</v>
      </c>
      <c r="U52">
        <v>1</v>
      </c>
      <c r="V52">
        <v>257</v>
      </c>
      <c r="W52">
        <v>80</v>
      </c>
      <c r="Y52" t="s">
        <v>16</v>
      </c>
    </row>
    <row r="53" spans="2:25" x14ac:dyDescent="0.45">
      <c r="B53" t="s">
        <v>139</v>
      </c>
      <c r="C53" t="s">
        <v>140</v>
      </c>
      <c r="D53" t="s">
        <v>148</v>
      </c>
      <c r="H53">
        <v>0</v>
      </c>
      <c r="L53" t="str">
        <f t="shared" ref="L53:L55" si="4">TRIM(MID(D53, FIND(",", D53)+1, FIND("/", D53)-FIND(",", D53)-1))</f>
        <v>U5 225H</v>
      </c>
      <c r="M53" t="str">
        <f t="shared" si="3"/>
        <v>5050</v>
      </c>
      <c r="R53" t="str" cm="1">
        <f t="array" ref="R53">IFERROR(
    LOOKUP(2^15, SEARCH({"16","18","14"}, D53), {"16","18","14"}),
    ""
)</f>
        <v>16</v>
      </c>
      <c r="S53">
        <v>13</v>
      </c>
      <c r="T53">
        <v>6</v>
      </c>
      <c r="U53">
        <v>0</v>
      </c>
      <c r="V53">
        <v>136</v>
      </c>
      <c r="W53">
        <v>90</v>
      </c>
      <c r="Y53" t="s">
        <v>16</v>
      </c>
    </row>
    <row r="54" spans="2:25" x14ac:dyDescent="0.45">
      <c r="B54" t="s">
        <v>141</v>
      </c>
      <c r="C54" t="s">
        <v>142</v>
      </c>
      <c r="D54" t="s">
        <v>149</v>
      </c>
      <c r="E54" t="s">
        <v>143</v>
      </c>
      <c r="F54">
        <v>1</v>
      </c>
      <c r="H54">
        <v>0</v>
      </c>
      <c r="L54" t="str">
        <f t="shared" si="4"/>
        <v>U5 225H</v>
      </c>
      <c r="M54" t="str">
        <f t="shared" si="3"/>
        <v>5050</v>
      </c>
      <c r="R54" t="str" cm="1">
        <f t="array" ref="R54">IFERROR(
    LOOKUP(2^15, SEARCH({"16","18","14"}, D54), {"16","18","14"}),
    ""
)</f>
        <v/>
      </c>
      <c r="S54">
        <v>13</v>
      </c>
      <c r="T54">
        <v>6</v>
      </c>
      <c r="U54">
        <v>0</v>
      </c>
      <c r="V54">
        <v>148</v>
      </c>
      <c r="W54">
        <v>90</v>
      </c>
      <c r="Y54" t="s">
        <v>16</v>
      </c>
    </row>
    <row r="55" spans="2:25" x14ac:dyDescent="0.45">
      <c r="B55" t="s">
        <v>144</v>
      </c>
      <c r="C55" t="s">
        <v>142</v>
      </c>
      <c r="D55" t="s">
        <v>149</v>
      </c>
      <c r="E55" t="s">
        <v>145</v>
      </c>
      <c r="F55">
        <v>2</v>
      </c>
      <c r="H55">
        <v>0</v>
      </c>
      <c r="L55" t="str">
        <f t="shared" si="4"/>
        <v>U5 225H</v>
      </c>
      <c r="M55" t="str">
        <f t="shared" si="3"/>
        <v>5050</v>
      </c>
      <c r="S55">
        <v>13</v>
      </c>
      <c r="T55">
        <v>6</v>
      </c>
      <c r="U55">
        <v>0</v>
      </c>
      <c r="V55">
        <v>148</v>
      </c>
      <c r="W55">
        <v>90</v>
      </c>
      <c r="Y55" t="s">
        <v>16</v>
      </c>
    </row>
    <row r="56" spans="2:25" x14ac:dyDescent="0.45">
      <c r="B56" t="s">
        <v>144</v>
      </c>
      <c r="C56" t="s">
        <v>146</v>
      </c>
      <c r="D56" t="s">
        <v>147</v>
      </c>
      <c r="E56" t="s">
        <v>151</v>
      </c>
      <c r="F56">
        <v>1</v>
      </c>
      <c r="H56">
        <v>0</v>
      </c>
      <c r="L56" t="str">
        <f>TRIM(MID(D56, FIND(",", D56)+1, FIND("/", D56)-FIND(",", D56)-1))</f>
        <v>R7 350</v>
      </c>
      <c r="M56" t="str">
        <f t="shared" si="3"/>
        <v>5060</v>
      </c>
      <c r="S56">
        <v>8</v>
      </c>
      <c r="T56">
        <v>6</v>
      </c>
      <c r="U56">
        <v>0</v>
      </c>
      <c r="V56">
        <v>190</v>
      </c>
      <c r="W56">
        <v>76</v>
      </c>
      <c r="Y56" t="s">
        <v>16</v>
      </c>
    </row>
    <row r="57" spans="2:25" x14ac:dyDescent="0.45">
      <c r="B57" t="s">
        <v>150</v>
      </c>
      <c r="D57" t="s">
        <v>147</v>
      </c>
      <c r="E57" t="s">
        <v>152</v>
      </c>
      <c r="F57">
        <v>2</v>
      </c>
      <c r="H57">
        <v>0</v>
      </c>
      <c r="L57" t="str">
        <f>TRIM(MID(D57, FIND(",", D57)+1, FIND("/", D57)-FIND(",", D57)-1))</f>
        <v>R7 350</v>
      </c>
      <c r="S57">
        <v>8</v>
      </c>
      <c r="T57">
        <v>6</v>
      </c>
      <c r="U57">
        <v>0</v>
      </c>
      <c r="V57">
        <v>190</v>
      </c>
      <c r="W57">
        <v>76</v>
      </c>
      <c r="Y57" t="s">
        <v>16</v>
      </c>
    </row>
    <row r="58" spans="2:25" x14ac:dyDescent="0.45">
      <c r="H58">
        <v>0</v>
      </c>
      <c r="L58" t="e">
        <f t="shared" ref="L58:L59" si="5">TRIM(MID(D58, FIND(",", D58)+1, FIND("/", D58)-FIND(",", D58)-1))</f>
        <v>#VALUE!</v>
      </c>
      <c r="Y58" t="s">
        <v>16</v>
      </c>
    </row>
    <row r="59" spans="2:25" x14ac:dyDescent="0.45">
      <c r="H59">
        <v>0</v>
      </c>
      <c r="L59" t="e">
        <f t="shared" si="5"/>
        <v>#VALUE!</v>
      </c>
      <c r="Y59" t="s">
        <v>16</v>
      </c>
    </row>
    <row r="60" spans="2:25" x14ac:dyDescent="0.45">
      <c r="H60">
        <v>0</v>
      </c>
      <c r="Y60" t="s">
        <v>16</v>
      </c>
    </row>
    <row r="61" spans="2:25" x14ac:dyDescent="0.45">
      <c r="H61">
        <v>0</v>
      </c>
      <c r="Y61" t="s">
        <v>16</v>
      </c>
    </row>
    <row r="62" spans="2:25" x14ac:dyDescent="0.45">
      <c r="H62">
        <v>0</v>
      </c>
      <c r="Y62" t="s">
        <v>16</v>
      </c>
    </row>
    <row r="63" spans="2:25" x14ac:dyDescent="0.45">
      <c r="H63">
        <v>0</v>
      </c>
      <c r="Y63" t="s">
        <v>16</v>
      </c>
    </row>
    <row r="64" spans="2:25" x14ac:dyDescent="0.45">
      <c r="H64">
        <v>0</v>
      </c>
      <c r="Y64" t="s">
        <v>16</v>
      </c>
    </row>
    <row r="65" spans="8:25" x14ac:dyDescent="0.45">
      <c r="H65">
        <v>0</v>
      </c>
      <c r="Y65" t="s">
        <v>16</v>
      </c>
    </row>
    <row r="66" spans="8:25" x14ac:dyDescent="0.45">
      <c r="H66">
        <v>0</v>
      </c>
      <c r="Y66" t="s">
        <v>16</v>
      </c>
    </row>
    <row r="67" spans="8:25" x14ac:dyDescent="0.45">
      <c r="H67">
        <v>0</v>
      </c>
      <c r="Y67" t="s">
        <v>16</v>
      </c>
    </row>
    <row r="68" spans="8:25" x14ac:dyDescent="0.45">
      <c r="H68">
        <v>0</v>
      </c>
      <c r="Y68" t="s">
        <v>16</v>
      </c>
    </row>
    <row r="69" spans="8:25" x14ac:dyDescent="0.45">
      <c r="H69">
        <v>0</v>
      </c>
      <c r="Y69" t="s">
        <v>16</v>
      </c>
    </row>
    <row r="70" spans="8:25" x14ac:dyDescent="0.45">
      <c r="H70">
        <v>0</v>
      </c>
      <c r="Y70" t="s">
        <v>16</v>
      </c>
    </row>
    <row r="71" spans="8:25" x14ac:dyDescent="0.45">
      <c r="H71">
        <v>0</v>
      </c>
      <c r="Y71" t="s">
        <v>16</v>
      </c>
    </row>
    <row r="72" spans="8:25" x14ac:dyDescent="0.45">
      <c r="H72">
        <v>0</v>
      </c>
      <c r="Y72" t="s">
        <v>16</v>
      </c>
    </row>
    <row r="73" spans="8:25" x14ac:dyDescent="0.45">
      <c r="H73">
        <v>0</v>
      </c>
      <c r="Y73" t="s">
        <v>16</v>
      </c>
    </row>
    <row r="74" spans="8:25" x14ac:dyDescent="0.45">
      <c r="H74">
        <v>0</v>
      </c>
      <c r="Y74" t="s">
        <v>16</v>
      </c>
    </row>
    <row r="75" spans="8:25" x14ac:dyDescent="0.45">
      <c r="H75">
        <v>0</v>
      </c>
      <c r="Y75" t="s">
        <v>16</v>
      </c>
    </row>
    <row r="76" spans="8:25" x14ac:dyDescent="0.45">
      <c r="H76">
        <v>0</v>
      </c>
      <c r="Y76" t="s">
        <v>16</v>
      </c>
    </row>
    <row r="77" spans="8:25" x14ac:dyDescent="0.45">
      <c r="H77">
        <v>0</v>
      </c>
      <c r="Y77" t="s">
        <v>16</v>
      </c>
    </row>
    <row r="78" spans="8:25" x14ac:dyDescent="0.45">
      <c r="H78">
        <v>0</v>
      </c>
      <c r="Y78" t="s">
        <v>16</v>
      </c>
    </row>
  </sheetData>
  <sortState xmlns:xlrd2="http://schemas.microsoft.com/office/spreadsheetml/2017/richdata2" ref="A2:W78">
    <sortCondition ref="L1:L78"/>
  </sortState>
  <phoneticPr fontId="18" type="noConversion"/>
  <hyperlinks>
    <hyperlink ref="B12" r:id="rId1" xr:uid="{108D5653-76A3-468D-822D-5792F977922A}"/>
    <hyperlink ref="B24" r:id="rId2" xr:uid="{671AC1F8-9822-4FFF-A6F5-FC1158DF84A7}"/>
    <hyperlink ref="B3" r:id="rId3" xr:uid="{AE84D4BF-8FA3-4B99-85DE-5D69AE3F3E8D}"/>
    <hyperlink ref="B20" r:id="rId4" xr:uid="{7236D69E-1AE8-4021-BB51-57BE430640E9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김 정아</cp:lastModifiedBy>
  <dcterms:created xsi:type="dcterms:W3CDTF">2026-03-17T04:43:28Z</dcterms:created>
  <dcterms:modified xsi:type="dcterms:W3CDTF">2026-03-31T15:42:02Z</dcterms:modified>
</cp:coreProperties>
</file>