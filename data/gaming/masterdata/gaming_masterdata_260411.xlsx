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gaming\masterdata\"/>
    </mc:Choice>
  </mc:AlternateContent>
  <xr:revisionPtr revIDLastSave="0" documentId="13_ncr:1_{ABD5F9D1-8AAA-4059-8D85-A62B2DD9978D}" xr6:coauthVersionLast="47" xr6:coauthVersionMax="47" xr10:uidLastSave="{00000000-0000-0000-0000-000000000000}"/>
  <bookViews>
    <workbookView xWindow="-120" yWindow="-120" windowWidth="29040" windowHeight="1572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5" l="1"/>
  <c r="M58" i="5"/>
  <c r="M29" i="5"/>
  <c r="N28" i="5"/>
  <c r="M28" i="5"/>
  <c r="N53" i="5"/>
  <c r="M53" i="5"/>
  <c r="S52" i="5" a="1"/>
  <c r="S52" i="5" s="1"/>
  <c r="N52" i="5"/>
  <c r="M52" i="5"/>
  <c r="S51" i="5" a="1"/>
  <c r="S51" i="5" s="1"/>
  <c r="N51" i="5"/>
  <c r="M51" i="5"/>
  <c r="S49" i="5" a="1"/>
  <c r="S49" i="5" s="1"/>
  <c r="N49" i="5"/>
  <c r="M49" i="5"/>
  <c r="S50" i="5" a="1"/>
  <c r="S50" i="5" s="1"/>
  <c r="N50" i="5"/>
  <c r="M50" i="5"/>
  <c r="S48" i="5" a="1"/>
  <c r="S48" i="5" s="1"/>
  <c r="N48" i="5"/>
  <c r="M48" i="5"/>
  <c r="S47" i="5" a="1"/>
  <c r="S47" i="5" s="1"/>
  <c r="N47" i="5"/>
  <c r="M47" i="5"/>
  <c r="S46" i="5" a="1"/>
  <c r="S46" i="5" s="1"/>
  <c r="N46" i="5"/>
  <c r="M46" i="5"/>
  <c r="S42" i="5" a="1"/>
  <c r="S42" i="5" s="1"/>
  <c r="N42" i="5"/>
  <c r="M42" i="5"/>
  <c r="S41" i="5" a="1"/>
  <c r="S41" i="5" s="1"/>
  <c r="N41" i="5"/>
  <c r="M41" i="5"/>
  <c r="S14" i="5" a="1"/>
  <c r="S14" i="5" s="1"/>
  <c r="N14" i="5"/>
  <c r="M14" i="5"/>
  <c r="S13" i="5" a="1"/>
  <c r="S13" i="5" s="1"/>
  <c r="N13" i="5"/>
  <c r="M13" i="5"/>
  <c r="S12" i="5" a="1"/>
  <c r="S12" i="5" s="1"/>
  <c r="N12" i="5"/>
  <c r="M12" i="5"/>
  <c r="S9" i="5" a="1"/>
  <c r="S9" i="5" s="1"/>
  <c r="N9" i="5"/>
  <c r="M9" i="5"/>
  <c r="S8" i="5" a="1"/>
  <c r="S8" i="5" s="1"/>
  <c r="N8" i="5"/>
  <c r="M8" i="5"/>
  <c r="S7" i="5" a="1"/>
  <c r="S7" i="5" s="1"/>
  <c r="N7" i="5"/>
  <c r="M7" i="5"/>
  <c r="S6" i="5" a="1"/>
  <c r="S6" i="5" s="1"/>
  <c r="N6" i="5"/>
  <c r="M6" i="5"/>
  <c r="S56" i="5" a="1"/>
  <c r="S56" i="5" s="1"/>
  <c r="N56" i="5"/>
  <c r="M56" i="5"/>
  <c r="S55" i="5" a="1"/>
  <c r="S55" i="5" s="1"/>
  <c r="N55" i="5"/>
  <c r="M55" i="5"/>
  <c r="S35" i="5" a="1"/>
  <c r="S35" i="5" s="1"/>
  <c r="N35" i="5"/>
  <c r="M35" i="5"/>
  <c r="S11" i="5" a="1"/>
  <c r="S11" i="5" s="1"/>
  <c r="N11" i="5"/>
  <c r="M11" i="5"/>
  <c r="S10" i="5" a="1"/>
  <c r="S10" i="5" s="1"/>
  <c r="N10" i="5"/>
  <c r="M10" i="5"/>
  <c r="S54" i="5" a="1"/>
  <c r="S54" i="5" s="1"/>
  <c r="N54" i="5"/>
  <c r="M54" i="5"/>
  <c r="S34" i="5" a="1"/>
  <c r="S34" i="5" s="1"/>
  <c r="N34" i="5"/>
  <c r="M34" i="5"/>
  <c r="S21" i="5" a="1"/>
  <c r="S21" i="5" s="1"/>
  <c r="N21" i="5"/>
  <c r="M21" i="5"/>
  <c r="S39" i="5" a="1"/>
  <c r="S39" i="5" s="1"/>
  <c r="N39" i="5"/>
  <c r="M39" i="5"/>
  <c r="S38" i="5" a="1"/>
  <c r="S38" i="5" s="1"/>
  <c r="N38" i="5"/>
  <c r="M38" i="5"/>
  <c r="N45" i="5"/>
  <c r="M45" i="5"/>
  <c r="S37" i="5" a="1"/>
  <c r="S37" i="5" s="1"/>
  <c r="N37" i="5"/>
  <c r="M37" i="5"/>
  <c r="N36" i="5"/>
  <c r="M36" i="5"/>
  <c r="S33" i="5" a="1"/>
  <c r="S33" i="5" s="1"/>
  <c r="N33" i="5"/>
  <c r="M33" i="5"/>
  <c r="S17" i="5" a="1"/>
  <c r="S17" i="5" s="1"/>
  <c r="N17" i="5"/>
  <c r="M17" i="5"/>
  <c r="S4" i="5" a="1"/>
  <c r="S4" i="5" s="1"/>
  <c r="N4" i="5"/>
  <c r="M4" i="5"/>
  <c r="S3" i="5" a="1"/>
  <c r="S3" i="5" s="1"/>
  <c r="N3" i="5"/>
  <c r="M3" i="5"/>
  <c r="S2" i="5" a="1"/>
  <c r="S2" i="5" s="1"/>
  <c r="N2" i="5"/>
  <c r="M2" i="5"/>
  <c r="N44" i="5"/>
  <c r="M44" i="5"/>
  <c r="S24" i="5" a="1"/>
  <c r="S24" i="5" s="1"/>
  <c r="N24" i="5"/>
  <c r="M24" i="5"/>
  <c r="S23" i="5" a="1"/>
  <c r="S23" i="5" s="1"/>
  <c r="N23" i="5"/>
  <c r="M23" i="5"/>
  <c r="S22" i="5" a="1"/>
  <c r="S22" i="5" s="1"/>
  <c r="N22" i="5"/>
  <c r="M22" i="5"/>
  <c r="S20" i="5" a="1"/>
  <c r="S20" i="5" s="1"/>
  <c r="N20" i="5"/>
  <c r="M20" i="5"/>
  <c r="S19" i="5" a="1"/>
  <c r="S19" i="5" s="1"/>
  <c r="N19" i="5"/>
  <c r="M19" i="5"/>
  <c r="S18" i="5" a="1"/>
  <c r="S18" i="5" s="1"/>
  <c r="N18" i="5"/>
  <c r="M18" i="5"/>
  <c r="S16" i="5" a="1"/>
  <c r="S16" i="5" s="1"/>
  <c r="N16" i="5"/>
  <c r="M16" i="5"/>
  <c r="S15" i="5" a="1"/>
  <c r="S15" i="5" s="1"/>
  <c r="N15" i="5"/>
  <c r="M15" i="5"/>
  <c r="S5" i="5" a="1"/>
  <c r="S5" i="5" s="1"/>
  <c r="N5" i="5"/>
  <c r="M5" i="5"/>
  <c r="N43" i="5"/>
  <c r="M43" i="5"/>
  <c r="S57" i="5" a="1"/>
  <c r="S57" i="5" s="1"/>
  <c r="N57" i="5"/>
  <c r="M57" i="5"/>
  <c r="S27" i="5" a="1"/>
  <c r="S27" i="5" s="1"/>
  <c r="N27" i="5"/>
  <c r="M27" i="5"/>
  <c r="S26" i="5" a="1"/>
  <c r="S26" i="5" s="1"/>
  <c r="N26" i="5"/>
  <c r="M26" i="5"/>
  <c r="S32" i="5" a="1"/>
  <c r="S32" i="5" s="1"/>
  <c r="N32" i="5"/>
  <c r="M32" i="5"/>
  <c r="S31" i="5" a="1"/>
  <c r="S31" i="5" s="1"/>
  <c r="N31" i="5"/>
  <c r="M31" i="5"/>
  <c r="S25" i="5" a="1"/>
  <c r="S25" i="5" s="1"/>
  <c r="N25" i="5"/>
  <c r="M25" i="5"/>
  <c r="S30" i="5" a="1"/>
  <c r="S30" i="5" s="1"/>
  <c r="N30" i="5"/>
  <c r="M30" i="5"/>
  <c r="S40" i="5" a="1"/>
  <c r="S40" i="5" s="1"/>
  <c r="N40" i="5"/>
  <c r="M4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<sst xmlns="http://schemas.openxmlformats.org/spreadsheetml/2006/main" count="333" uniqueCount="158">
  <si>
    <t>id</t>
  </si>
  <si>
    <t>link</t>
  </si>
  <si>
    <t>brand</t>
  </si>
  <si>
    <t>name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</si>
  <si>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</si>
  <si>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</si>
  <si>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</si>
  <si>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</si>
  <si>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</si>
  <si>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</si>
  <si>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</si>
  <si>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</si>
  <si>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</si>
  <si>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</si>
  <si>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market</t>
  </si>
  <si>
    <t>lasust_update</t>
  </si>
  <si>
    <t>쿠팡</t>
  </si>
  <si>
    <t>쿠팡</t>
    <phoneticPr fontId="18" type="noConversion"/>
  </si>
  <si>
    <t>gpu</t>
    <phoneticPr fontId="18" type="noConversion"/>
  </si>
  <si>
    <t>리전 5 15AKP10, R7 350/5070</t>
  </si>
  <si>
    <t>오멘 16, R7 350/5060</t>
  </si>
  <si>
    <t>오멘 16, R9 8940HX/5060</t>
  </si>
  <si>
    <t>TUF A14, R7 260/5060</t>
  </si>
  <si>
    <t>TUF A14, R7 350/5060</t>
  </si>
  <si>
    <t>1TB</t>
    <phoneticPr fontId="18" type="noConversion"/>
  </si>
  <si>
    <t>512GB</t>
    <phoneticPr fontId="18" type="noConversion"/>
  </si>
  <si>
    <t>TUF A16, R7 260/5060</t>
  </si>
  <si>
    <t>TUF A16, R7 260/5050</t>
  </si>
  <si>
    <t>TUF A16, R9 8940HX/5070 WQXGA</t>
  </si>
  <si>
    <t>니트로 V 16 슬림, R7 260/5060</t>
  </si>
  <si>
    <t>오멘 맥스 16, R9 375HX/5060</t>
  </si>
  <si>
    <t>오멘 맥스 16, U9 275HX/5070</t>
  </si>
  <si>
    <t>오멘 맥스 16, R7 350/5070 Ti</t>
  </si>
  <si>
    <t>오멘 맥스 16, U9 275HX/5070 Ti</t>
  </si>
  <si>
    <t>오멘 17, R7 350/5060</t>
  </si>
  <si>
    <t>ROG 스트릭스 G16, U9 275HX/5080</t>
  </si>
  <si>
    <t>오멘 맥스 16, R9 375HX/5080</t>
  </si>
  <si>
    <t>레이더 A18, R9 9955HX/5080</t>
  </si>
  <si>
    <t>TUF A16, R7 260/5060 WQXGA</t>
  </si>
  <si>
    <t>TUF A18, R7 260/5050</t>
  </si>
  <si>
    <t>TUF A18, R7 260/5060</t>
  </si>
  <si>
    <t>TUF A18, R7 260/5070</t>
  </si>
  <si>
    <t>니트로 16 슬림, R7 350/5070</t>
  </si>
  <si>
    <t>헬리오스 네오 16 슬림, U9 275HX/5060</t>
  </si>
  <si>
    <t>헬리오스 네오 16, U9 275HX/5070</t>
  </si>
  <si>
    <t>니트로 18, R7 350/5060</t>
  </si>
  <si>
    <t>니트로 18, R7 350/5070</t>
  </si>
  <si>
    <t>리전 7 16IAX10, U9 275HX/5070</t>
  </si>
  <si>
    <t>ROG 스트릭스 G18, U9 275HX/5070</t>
  </si>
  <si>
    <t>벡터 16, U7 275HX/5080</t>
  </si>
  <si>
    <t>헬리오스 네오 16, U9 275HX/5070 Ti</t>
  </si>
  <si>
    <t>헬리오스 네오 18, U9 275HX/5070 Ti</t>
  </si>
  <si>
    <t>리전 프로 5 16IAX10, U9 275HX/5070 Ti</t>
  </si>
  <si>
    <t>ROG 스트릭스 G18, U9 275HX/5070 Ti</t>
  </si>
  <si>
    <t>벡터 16, U7 275HX/5070 Ti</t>
  </si>
  <si>
    <t>acer</t>
    <phoneticPr fontId="18" type="noConversion"/>
  </si>
  <si>
    <t>쿠팡</t>
    <phoneticPr fontId="18" type="noConversion"/>
  </si>
  <si>
    <t>dual</t>
    <phoneticPr fontId="18" type="noConversion"/>
  </si>
  <si>
    <t>portability</t>
  </si>
  <si>
    <t>cpu_style</t>
    <phoneticPr fontId="18" type="noConversion"/>
  </si>
  <si>
    <t>dual</t>
    <phoneticPr fontId="18" type="noConversion"/>
  </si>
  <si>
    <t>onboard</t>
    <phoneticPr fontId="18" type="noConversion"/>
  </si>
  <si>
    <t>battery</t>
    <phoneticPr fontId="18" type="noConversion"/>
  </si>
  <si>
    <t>오멘 맥스 16, U7 255HX/5060 OLED</t>
    <phoneticPr fontId="18" type="noConversion"/>
  </si>
  <si>
    <t>오멘 16, U7 255H/5060</t>
    <phoneticPr fontId="18" type="noConversion"/>
  </si>
  <si>
    <t>lg</t>
    <phoneticPr fontId="18" type="noConversion"/>
  </si>
  <si>
    <t>화이트</t>
    <phoneticPr fontId="18" type="noConversion"/>
  </si>
  <si>
    <t>블랙</t>
    <phoneticPr fontId="18" type="noConversion"/>
  </si>
  <si>
    <t>에어로 X16, R7 350/5060</t>
    <phoneticPr fontId="18" type="noConversion"/>
  </si>
  <si>
    <t>그램프로 16, U5 225H/5050</t>
    <phoneticPr fontId="18" type="noConversion"/>
  </si>
  <si>
    <t>그램프로 17, U5 225H/5050</t>
    <phoneticPr fontId="18" type="noConversion"/>
  </si>
  <si>
    <t>16GB 램</t>
    <phoneticPr fontId="18" type="noConversion"/>
  </si>
  <si>
    <t>32GB 램</t>
    <phoneticPr fontId="18" type="noConversion"/>
  </si>
  <si>
    <t>on_crawl</t>
    <phoneticPr fontId="18" type="noConversion"/>
  </si>
  <si>
    <t>프리도스</t>
    <phoneticPr fontId="18" type="noConversion"/>
  </si>
  <si>
    <t>screen_type</t>
    <phoneticPr fontId="18" type="noConversion"/>
  </si>
  <si>
    <t>variant</t>
  </si>
  <si>
    <t>is_active</t>
  </si>
  <si>
    <t>window</t>
  </si>
  <si>
    <t>display</t>
  </si>
  <si>
    <t>weight</t>
  </si>
  <si>
    <t>https://www.coupang.com/vp/products/8966522013?itemid=26241074138&amp;vendoritemid=93219739755</t>
  </si>
  <si>
    <t>https://www.coupang.com/vp/products/7685542307?itemid=19025582401&amp;vendoritemid=86149803397</t>
  </si>
  <si>
    <t>빅터스 16, i5 13500HX/4060</t>
  </si>
  <si>
    <t>https://www.coupang.com/vp/products/9167902430?itemid=27014590927&amp;vendoritemid=93983227395</t>
  </si>
  <si>
    <t>TUF F16, i5 14450HX/5050</t>
  </si>
  <si>
    <t>single</t>
  </si>
  <si>
    <t>https://www.coupang.com/vp/products/8677554106?itemid=25190830588&amp;vendoritemid=92187575667</t>
  </si>
  <si>
    <t>빅터스 16, i5 14450HX/4060</t>
  </si>
  <si>
    <t>https://www.coupang.com/vp/products/9325824364?itemid=27736313139&amp;vendoritemid=94697490099</t>
  </si>
  <si>
    <t>오멘 15, i5 14450HX/5060</t>
  </si>
  <si>
    <t>https://www.coupang.com/vp/products/8835024384?itemid=25745774086&amp;vendoritemid=92734130287</t>
  </si>
  <si>
    <t>TUF F16, i7 14650HX/5060 WQXGA</t>
  </si>
  <si>
    <t>https://www.coupang.com/vp/products/8982779083?itemid=26301942628&amp;vendoritemid=93279668232</t>
  </si>
  <si>
    <t>TUF F16, i7 14650HX/5070 WQXGA</t>
  </si>
  <si>
    <t>https://www.coupang.com/vp/products/8825969244?itemid=25789822919&amp;vendoritemid=92777600085</t>
  </si>
  <si>
    <t>msi</t>
  </si>
  <si>
    <t>소드 GF76 17.3, i7 14650HX/5060</t>
  </si>
  <si>
    <t>https://www.coupang.com/vp/products/9018633339?itemid=26440741094&amp;vendoritemid=93416362417</t>
  </si>
  <si>
    <t>https://www.coupang.com/vp/products/9205272622?itemid=27183962156&amp;vendoritemid=94151511891</t>
  </si>
  <si>
    <t>https://www.coupang.com/vp/products/8852815391?itemid=25809161282&amp;vendoritemid=92796439383</t>
  </si>
  <si>
    <t>https://www.coupang.com/vp/products/8952675716?itemid=26188751314&amp;vendoritemid=93168176760</t>
  </si>
  <si>
    <t>https://www.coupang.com/vp/products/8853447738?itemid=25811877071&amp;vendoritemid=92799026566</t>
  </si>
  <si>
    <t>https://www.coupang.com/vp/products/8774172630?itemid=25524523223&amp;vendoritemid=92516319080</t>
  </si>
  <si>
    <t>https://www.coupang.com/vp/products/8783926143?itemid=25559511189&amp;vendoritemid=92550827920</t>
  </si>
  <si>
    <t>https://www.coupang.com/vp/products/8899002146?itemid=25984595201&amp;vendoritemid=92967046632</t>
  </si>
  <si>
    <t>https://www.coupang.com/vp/products/8773992950?itemid=25523735423&amp;vendoritemid=92515547957</t>
  </si>
  <si>
    <t>https://www.coupang.com/vp/products/8835398704?itemid=25746757768&amp;vendoritemid=92735093516</t>
  </si>
  <si>
    <t>https://www.coupang.com/vp/products/9074269633?itemid=26652309626&amp;vendoritemid=93624824750</t>
  </si>
  <si>
    <t>https://www.coupang.com/vp/products/9234391064?itemid=27300437532&amp;vendoritemid=94266985637</t>
  </si>
  <si>
    <t>https://www.coupang.com/vp/products/9200481145?itemid=27164469297&amp;vendoritemid=94132178204</t>
  </si>
  <si>
    <t>https://www.coupang.com/vp/products/8899002151?itemid=25984595232&amp;vendoritemid=92967046664</t>
  </si>
  <si>
    <t>https://www.coupang.com/vp/products/8826112134?itemid=25719163101&amp;vendoritemid=92707939317</t>
  </si>
  <si>
    <t>https://www.coupang.com/vp/products/8941557079?itemid=26148695560&amp;vendoritemid=93128696273</t>
  </si>
  <si>
    <t>https://www.coupang.com/vp/products/8771136679?itemid=25513329531&amp;vendoritemid=92505305899</t>
  </si>
  <si>
    <t>https://www.coupang.com/vp/products/8826133206?itemid=25719248433&amp;vendoritemid=92708022379</t>
  </si>
  <si>
    <t>https://www.coupang.com/vp/products/8763580498?itemid=25484221675&amp;vendoritemid=92476480219</t>
  </si>
  <si>
    <t>https://www.coupang.com/vp/products/8775686288?itemid=25530075131&amp;vendoritemid=92521813430</t>
  </si>
  <si>
    <t>https://www.coupang.com/vp/products/8837462423?itemid=25754178542&amp;vendoritemid=92742426422</t>
  </si>
  <si>
    <t>https://www.coupang.com/vp/products/8711669095?itemid=26764774488&amp;vendoritemid=93735603813</t>
  </si>
  <si>
    <t>https://www.coupang.com/vp/products/8733078928?itemid=25376712122&amp;vendoritemid=92370774835</t>
  </si>
  <si>
    <t>ROG 스트릭스 G16, R9 9955HX3D/5070 Ti</t>
  </si>
  <si>
    <t>https://www.coupang.com/vp/products/8733078928?itemid=25777643455&amp;vendoritemid=92765623467</t>
  </si>
  <si>
    <t>win11</t>
  </si>
  <si>
    <t>https://www.coupang.com/vp/products/9277699361?itemid=27465445395&amp;vendoritemid=94430699317</t>
  </si>
  <si>
    <t>https://www.coupang.com/vp/products/8771764425?itemid=25515886631&amp;vendoritemid=92507808343</t>
  </si>
  <si>
    <t>https://www.coupang.com/vp/products/8715362832?itemid=25312533063&amp;vendoritemid=92307623157</t>
  </si>
  <si>
    <t>https://www.coupang.com/vp/products/8904297554?itemid=26003982478&amp;vendoritemid=92986077906</t>
  </si>
  <si>
    <t>https://www.coupang.com/vp/products/8880588148?itemid=25917512831&amp;vendoritemid=92903064695</t>
  </si>
  <si>
    <t>https://www.coupang.com/vp/products/8882397835?itemid=25923808163&amp;vendoritemid=92909249701</t>
  </si>
  <si>
    <t>https://www.coupang.com/vp/products/8971714769?itemid=26258100341&amp;vendoritemid=93236465468</t>
  </si>
  <si>
    <t>https://www.coupang.com/vp/products/8721382195?itemid=25333537099&amp;vendoritemid=92328320231</t>
  </si>
  <si>
    <t>https://www.coupang.com/vp/products/8790276970?itemid=25584164030&amp;vendoritemid=92575058855</t>
  </si>
  <si>
    <t>https://www.coupang.com/vp/products/8792486494?itemid=25592949982&amp;vendoritemid=92583699379</t>
  </si>
  <si>
    <t>https://www.coupang.com/vp/products/8758944787?itemid=25467752802&amp;vendoritemid=92460264359</t>
  </si>
  <si>
    <t>https://www.coupang.com/vp/products/8771223830?itemid=25513732236&amp;vendoritemid=92505701532</t>
  </si>
  <si>
    <t>https://www.coupang.com/vp/products/8935925393?itemid=25890522454&amp;vendoritemid=92876444744</t>
  </si>
  <si>
    <t>https://www.coupang.com/vp/products/8836980191?itemid=25752060438&amp;vendoritemid=92740350838</t>
  </si>
  <si>
    <t>https://www.coupang.com/vp/products/8873266044?itemid=25890522816&amp;vendoritemid=92876445013</t>
  </si>
  <si>
    <t>https://www.coupang.com/vp/products/8686463967?itemid=25217316659&amp;vendoritemid=92213738237</t>
  </si>
  <si>
    <t>https://www.coupang.com/vp/products/8760962623?itemid=25474920787&amp;vendoritemid=92467342021</t>
  </si>
  <si>
    <t>https://www.coupang.com/vp/products/9007205840?itemid=27375892821&amp;vendoritemid=94341787823</t>
  </si>
  <si>
    <t>https://www.coupang.com/vp/products/9254540096?itemid=27375892823&amp;vendoritemid=94341787824</t>
  </si>
  <si>
    <t>https://www.coupang.com/vp/products/9395836180?itemid=27904531391&amp;vendoritemid=94863309099</t>
  </si>
  <si>
    <t>gigabyte</t>
  </si>
  <si>
    <t>https://www.coupang.com/vp/products/8938802218?itemid=26137504736&amp;vendoritemid=93117664782</t>
  </si>
  <si>
    <t>리전 프로 5 16IAX10, U9 275HX/5070</t>
  </si>
  <si>
    <t>리전 프로 7 16IAX10, U9 275HX/5080</t>
  </si>
  <si>
    <t>리전 프로 7 16IAX10, U9 275HX/5070 Ti</t>
  </si>
  <si>
    <t>asus</t>
  </si>
  <si>
    <t>hp</t>
  </si>
  <si>
    <t>LOQ 15Ahp10, R7 250/5060</t>
  </si>
  <si>
    <t>리전 5 15Ahp10, R7 260/5060</t>
  </si>
  <si>
    <t>lenovo</t>
  </si>
  <si>
    <t>gigabyte</t>
    <phoneticPr fontId="18" type="noConversion"/>
  </si>
  <si>
    <t>dual</t>
    <phoneticPr fontId="18" type="noConversion"/>
  </si>
  <si>
    <t>https://www.coupang.com/vp/products/8960448289</t>
  </si>
  <si>
    <t>https://www.coupang.com/vp/products/9018648022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</si>
</sst>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7685542307?itemId=19025582401&amp;vendorItemId=86149803397" TargetMode="External"/><Relationship Id="rId2" Type="http://schemas.openxmlformats.org/officeDocument/2006/relationships/hyperlink" Target="https://www.coupang.com/vp/products/8899002151?itemId=25984595232&amp;vendorItemId=92967046664" TargetMode="External"/><Relationship Id="rId1" Type="http://schemas.openxmlformats.org/officeDocument/2006/relationships/hyperlink" Target="https://www.coupang.com/vp/products/8852815391?itemId=25809161282&amp;vendorItemId=9279643938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AB78"/>
  <sheetViews>
    <sheetView tabSelected="1" zoomScale="115" zoomScaleNormal="115" workbookViewId="0">
      <pane ySplit="1" topLeftCell="A2" activePane="bottomLeft" state="frozen"/>
      <selection activeCell="D1" sqref="D1"/>
      <selection pane="bottomLeft" activeCell="L9" sqref="L9"/>
    </sheetView>
  </sheetViews>
  <sheetFormatPr defaultRowHeight="16.5" x14ac:dyDescent="0.3"/>
  <cols>
    <col min="2" max="2" width="21" customWidth="1"/>
    <col min="4" max="4" width="40.875" bestFit="1" customWidth="1"/>
    <col min="6" max="7" width="9.125" customWidth="1"/>
    <col min="8" max="9" width="10.625" customWidth="1"/>
    <col min="10" max="10" width="14.125" customWidth="1"/>
    <col min="11" max="11" width="12.125" customWidth="1"/>
    <col min="12" max="12" width="12.5" customWidth="1"/>
    <col min="13" max="13" width="18.375" customWidth="1"/>
    <col min="14" max="14" width="9.125" customWidth="1"/>
    <col min="18" max="20" width="9.125" customWidth="1"/>
    <col min="23" max="23" width="9.1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76</v>
      </c>
      <c r="G1" t="s">
        <v>5</v>
      </c>
      <c r="H1" t="s">
        <v>73</v>
      </c>
      <c r="I1" t="s">
        <v>77</v>
      </c>
      <c r="J1" t="s">
        <v>6</v>
      </c>
      <c r="K1" t="s">
        <v>7</v>
      </c>
      <c r="L1" t="s">
        <v>8</v>
      </c>
      <c r="M1" t="s">
        <v>9</v>
      </c>
      <c r="N1" t="s">
        <v>18</v>
      </c>
      <c r="O1" t="s">
        <v>10</v>
      </c>
      <c r="P1" t="s">
        <v>11</v>
      </c>
      <c r="Q1" t="s">
        <v>12</v>
      </c>
      <c r="R1" t="s">
        <v>78</v>
      </c>
      <c r="S1" t="s">
        <v>13</v>
      </c>
      <c r="T1" t="s">
        <v>75</v>
      </c>
      <c r="U1" t="s">
        <v>58</v>
      </c>
      <c r="V1" t="s">
        <v>79</v>
      </c>
      <c r="W1" t="s">
        <v>59</v>
      </c>
      <c r="X1" t="s">
        <v>80</v>
      </c>
      <c r="Y1" t="s">
        <v>62</v>
      </c>
      <c r="AA1" t="s">
        <v>14</v>
      </c>
      <c r="AB1" t="s">
        <v>15</v>
      </c>
    </row>
    <row r="2" spans="1:28" x14ac:dyDescent="0.3">
      <c r="B2" t="s">
        <v>108</v>
      </c>
      <c r="C2" t="s">
        <v>55</v>
      </c>
      <c r="D2" t="s">
        <v>42</v>
      </c>
      <c r="H2">
        <v>1</v>
      </c>
      <c r="I2">
        <v>1</v>
      </c>
      <c r="J2">
        <v>210</v>
      </c>
      <c r="M2" t="str">
        <f>TRIM(MID(D2, FIND(",", D2)+1, FIND("/", D2)-FIND(",", D2)-1))</f>
        <v>R7 350</v>
      </c>
      <c r="N2" t="str">
        <f>_xlfn.LET(
    _xlpm.txt, TRIM(MID(D2, FIND("/", D2)+1, LEN(D2))),
    IFERROR(LEFT(_xlpm.txt, FIND("Ti", _xlpm.txt)+1), LEFT(_xlpm.txt, FIND(" ", _xlpm.txt&amp;" ")-1))
)</f>
        <v>5070</v>
      </c>
      <c r="O2">
        <v>32</v>
      </c>
      <c r="P2" t="s">
        <v>57</v>
      </c>
      <c r="Q2">
        <v>1024</v>
      </c>
      <c r="R2">
        <v>0</v>
      </c>
      <c r="S2" t="str" cm="1">
        <f t="array" ref="S2">IFERROR(
    LOOKUP(2^15, SEARCH({"16","18","14"}, D2), {"16","18","14"}),
    ""
)</f>
        <v>16</v>
      </c>
      <c r="U2">
        <v>5</v>
      </c>
      <c r="V2">
        <v>7</v>
      </c>
      <c r="W2">
        <v>0</v>
      </c>
      <c r="AA2" t="s">
        <v>17</v>
      </c>
    </row>
    <row r="3" spans="1:28" x14ac:dyDescent="0.3">
      <c r="B3" t="s">
        <v>109</v>
      </c>
      <c r="C3" t="s">
        <v>55</v>
      </c>
      <c r="D3" t="s">
        <v>45</v>
      </c>
      <c r="H3">
        <v>1</v>
      </c>
      <c r="I3">
        <v>1</v>
      </c>
      <c r="J3">
        <v>180</v>
      </c>
      <c r="M3" t="str">
        <f>TRIM(MID(D3, FIND(",", D3)+1, FIND("/", D3)-FIND(",", D3)-1))</f>
        <v>R7 350</v>
      </c>
      <c r="N3" t="str">
        <f>_xlfn.LET(
    _xlpm.txt, TRIM(MID(D3, FIND("/", D3)+1, LEN(D3))),
    IFERROR(LEFT(_xlpm.txt, FIND("Ti", _xlpm.txt)+1), LEFT(_xlpm.txt, FIND(" ", _xlpm.txt&amp;" ")-1))
)</f>
        <v>5060</v>
      </c>
      <c r="O3">
        <v>32</v>
      </c>
      <c r="P3" t="s">
        <v>57</v>
      </c>
      <c r="Q3">
        <v>1024</v>
      </c>
      <c r="R3">
        <v>0</v>
      </c>
      <c r="S3" t="str" cm="1">
        <f t="array" ref="S3">IFERROR(
    LOOKUP(2^15, SEARCH({"16","18","14"}, D3), {"16","18","14"}),
    ""
)</f>
        <v>18</v>
      </c>
      <c r="U3">
        <v>1</v>
      </c>
      <c r="V3">
        <v>7</v>
      </c>
      <c r="W3">
        <v>0</v>
      </c>
      <c r="AA3" t="s">
        <v>17</v>
      </c>
    </row>
    <row r="4" spans="1:28" x14ac:dyDescent="0.3">
      <c r="B4" t="s">
        <v>110</v>
      </c>
      <c r="C4" t="s">
        <v>55</v>
      </c>
      <c r="D4" t="s">
        <v>46</v>
      </c>
      <c r="H4">
        <v>1</v>
      </c>
      <c r="I4">
        <v>1</v>
      </c>
      <c r="J4">
        <v>200</v>
      </c>
      <c r="M4" t="str">
        <f>TRIM(MID(D4, FIND(",", D4)+1, FIND("/", D4)-FIND(",", D4)-1))</f>
        <v>R7 350</v>
      </c>
      <c r="N4" t="str">
        <f>_xlfn.LET(
    _xlpm.txt, TRIM(MID(D4, FIND("/", D4)+1, LEN(D4))),
    IFERROR(LEFT(_xlpm.txt, FIND("Ti", _xlpm.txt)+1), LEFT(_xlpm.txt, FIND(" ", _xlpm.txt&amp;" ")-1))
)</f>
        <v>5070</v>
      </c>
      <c r="O4">
        <v>32</v>
      </c>
      <c r="P4" t="s">
        <v>57</v>
      </c>
      <c r="Q4">
        <v>1024</v>
      </c>
      <c r="R4">
        <v>0</v>
      </c>
      <c r="S4" t="str" cm="1">
        <f t="array" ref="S4">IFERROR(
    LOOKUP(2^15, SEARCH({"16","18","14"}, D4), {"16","18","14"}),
    ""
)</f>
        <v>18</v>
      </c>
      <c r="U4">
        <v>1</v>
      </c>
      <c r="V4">
        <v>7</v>
      </c>
      <c r="W4">
        <v>0</v>
      </c>
      <c r="AA4" t="s">
        <v>17</v>
      </c>
    </row>
    <row r="5" spans="1:28" x14ac:dyDescent="0.3">
      <c r="B5" t="s">
        <v>99</v>
      </c>
      <c r="C5" t="s">
        <v>55</v>
      </c>
      <c r="D5" t="s">
        <v>29</v>
      </c>
      <c r="H5">
        <v>1</v>
      </c>
      <c r="I5">
        <v>1</v>
      </c>
      <c r="J5">
        <v>135</v>
      </c>
      <c r="M5" t="str">
        <f>TRIM(MID(D5, FIND(",", D5)+1, FIND("/", D5)-FIND(",", D5)-1))</f>
        <v>R7 260</v>
      </c>
      <c r="N5" t="str">
        <f>_xlfn.LET(
    _xlpm.txt, TRIM(MID(D5, FIND("/", D5)+1, LEN(D5))),
    IFERROR(LEFT(_xlpm.txt, FIND("Ti", _xlpm.txt)+1), LEFT(_xlpm.txt, FIND(" ", _xlpm.txt&amp;" ")-1))
)</f>
        <v>5060</v>
      </c>
      <c r="O5">
        <v>16</v>
      </c>
      <c r="P5" t="s">
        <v>86</v>
      </c>
      <c r="Q5">
        <v>512</v>
      </c>
      <c r="R5">
        <v>0</v>
      </c>
      <c r="S5" t="str" cm="1">
        <f t="array" ref="S5">IFERROR(
    LOOKUP(2^15, SEARCH({"16","18","14"}, D5), {"16","18","14"}),
    ""
)</f>
        <v>16</v>
      </c>
      <c r="U5">
        <v>6</v>
      </c>
      <c r="V5">
        <v>7</v>
      </c>
      <c r="W5">
        <v>0</v>
      </c>
      <c r="AA5" t="s">
        <v>17</v>
      </c>
    </row>
    <row r="6" spans="1:28" x14ac:dyDescent="0.3">
      <c r="B6" t="s">
        <v>127</v>
      </c>
      <c r="C6" t="s">
        <v>55</v>
      </c>
      <c r="D6" t="s">
        <v>43</v>
      </c>
      <c r="H6">
        <v>1</v>
      </c>
      <c r="I6">
        <v>1</v>
      </c>
      <c r="J6">
        <v>210</v>
      </c>
      <c r="M6" t="str">
        <f>TRIM(MID(D6, FIND(",", D6)+1, FIND("/", D6)-FIND(",", D6)-1))</f>
        <v>U9 275HX</v>
      </c>
      <c r="N6" t="str">
        <f>_xlfn.LET(
    _xlpm.txt, TRIM(MID(D6, FIND("/", D6)+1, LEN(D6))),
    IFERROR(LEFT(_xlpm.txt, FIND("Ti", _xlpm.txt)+1), LEFT(_xlpm.txt, FIND(" ", _xlpm.txt&amp;" ")-1))
)</f>
        <v>5060</v>
      </c>
      <c r="O6">
        <v>32</v>
      </c>
      <c r="P6" t="s">
        <v>57</v>
      </c>
      <c r="Q6">
        <v>1024</v>
      </c>
      <c r="R6">
        <v>0</v>
      </c>
      <c r="S6" t="str" cm="1">
        <f t="array" ref="S6">IFERROR(
    LOOKUP(2^15, SEARCH({"16","18","14"}, D6), {"16","18","14"}),
    ""
)</f>
        <v>16</v>
      </c>
      <c r="U6">
        <v>6</v>
      </c>
      <c r="V6">
        <v>9</v>
      </c>
      <c r="W6">
        <v>1</v>
      </c>
      <c r="AA6" t="s">
        <v>17</v>
      </c>
    </row>
    <row r="7" spans="1:28" x14ac:dyDescent="0.3">
      <c r="B7" t="s">
        <v>128</v>
      </c>
      <c r="C7" t="s">
        <v>55</v>
      </c>
      <c r="D7" t="s">
        <v>44</v>
      </c>
      <c r="H7">
        <v>1</v>
      </c>
      <c r="I7">
        <v>1</v>
      </c>
      <c r="J7">
        <v>230</v>
      </c>
      <c r="M7" t="str">
        <f>TRIM(MID(D7, FIND(",", D7)+1, FIND("/", D7)-FIND(",", D7)-1))</f>
        <v>U9 275HX</v>
      </c>
      <c r="N7" t="str">
        <f>_xlfn.LET(
    _xlpm.txt, TRIM(MID(D7, FIND("/", D7)+1, LEN(D7))),
    IFERROR(LEFT(_xlpm.txt, FIND("Ti", _xlpm.txt)+1), LEFT(_xlpm.txt, FIND(" ", _xlpm.txt&amp;" ")-1))
)</f>
        <v>5070</v>
      </c>
      <c r="O7">
        <v>32</v>
      </c>
      <c r="P7" t="s">
        <v>57</v>
      </c>
      <c r="Q7">
        <v>1024</v>
      </c>
      <c r="R7">
        <v>0</v>
      </c>
      <c r="S7" t="str" cm="1">
        <f t="array" ref="S7">IFERROR(
    LOOKUP(2^15, SEARCH({"16","18","14"}, D7), {"16","18","14"}),
    ""
)</f>
        <v>16</v>
      </c>
      <c r="U7">
        <v>3</v>
      </c>
      <c r="V7">
        <v>8</v>
      </c>
      <c r="W7">
        <v>1</v>
      </c>
      <c r="AA7" t="s">
        <v>17</v>
      </c>
    </row>
    <row r="8" spans="1:28" x14ac:dyDescent="0.3">
      <c r="B8" t="s">
        <v>129</v>
      </c>
      <c r="C8" t="s">
        <v>55</v>
      </c>
      <c r="D8" t="s">
        <v>50</v>
      </c>
      <c r="H8">
        <v>1</v>
      </c>
      <c r="I8">
        <v>1</v>
      </c>
      <c r="J8">
        <v>270</v>
      </c>
      <c r="M8" t="str">
        <f>TRIM(MID(D8, FIND(",", D8)+1, FIND("/", D8)-FIND(",", D8)-1))</f>
        <v>U9 275HX</v>
      </c>
      <c r="N8" t="str">
        <f>_xlfn.LET(
    _xlpm.txt, TRIM(MID(D8, FIND("/", D8)+1, LEN(D8))),
    IFERROR(LEFT(_xlpm.txt, FIND("Ti", _xlpm.txt)+1), LEFT(_xlpm.txt, FIND(" ", _xlpm.txt&amp;" ")-1))
)</f>
        <v>5070 Ti</v>
      </c>
      <c r="O8">
        <v>32</v>
      </c>
      <c r="P8" t="s">
        <v>57</v>
      </c>
      <c r="Q8">
        <v>1024</v>
      </c>
      <c r="R8">
        <v>0</v>
      </c>
      <c r="S8" t="str" cm="1">
        <f t="array" ref="S8">IFERROR(
    LOOKUP(2^15, SEARCH({"16","18","14"}, D8), {"16","18","14"}),
    ""
)</f>
        <v>16</v>
      </c>
      <c r="U8">
        <v>3</v>
      </c>
      <c r="V8">
        <v>8</v>
      </c>
      <c r="W8">
        <v>1</v>
      </c>
      <c r="AA8" t="s">
        <v>17</v>
      </c>
    </row>
    <row r="9" spans="1:28" x14ac:dyDescent="0.3">
      <c r="B9" t="s">
        <v>130</v>
      </c>
      <c r="C9" t="s">
        <v>55</v>
      </c>
      <c r="D9" t="s">
        <v>51</v>
      </c>
      <c r="H9">
        <v>1</v>
      </c>
      <c r="I9">
        <v>1</v>
      </c>
      <c r="J9">
        <v>285</v>
      </c>
      <c r="M9" t="str">
        <f>TRIM(MID(D9, FIND(",", D9)+1, FIND("/", D9)-FIND(",", D9)-1))</f>
        <v>U9 275HX</v>
      </c>
      <c r="N9" t="str">
        <f>_xlfn.LET(
    _xlpm.txt, TRIM(MID(D9, FIND("/", D9)+1, LEN(D9))),
    IFERROR(LEFT(_xlpm.txt, FIND("Ti", _xlpm.txt)+1), LEFT(_xlpm.txt, FIND(" ", _xlpm.txt&amp;" ")-1))
)</f>
        <v>5070 Ti</v>
      </c>
      <c r="O9">
        <v>32</v>
      </c>
      <c r="P9" t="s">
        <v>57</v>
      </c>
      <c r="Q9">
        <v>1024</v>
      </c>
      <c r="R9">
        <v>0</v>
      </c>
      <c r="S9" t="str" cm="1">
        <f t="array" ref="S9">IFERROR(
    LOOKUP(2^15, SEARCH({"16","18","14"}, D9), {"16","18","14"}),
    ""
)</f>
        <v>18</v>
      </c>
      <c r="U9">
        <v>1</v>
      </c>
      <c r="V9">
        <v>8</v>
      </c>
      <c r="W9">
        <v>1</v>
      </c>
      <c r="AA9" t="s">
        <v>17</v>
      </c>
    </row>
    <row r="10" spans="1:28" x14ac:dyDescent="0.3">
      <c r="B10" t="s">
        <v>120</v>
      </c>
      <c r="C10" t="s">
        <v>149</v>
      </c>
      <c r="D10" t="s">
        <v>121</v>
      </c>
      <c r="E10" t="s">
        <v>74</v>
      </c>
      <c r="F10">
        <v>1</v>
      </c>
      <c r="H10">
        <v>1</v>
      </c>
      <c r="I10">
        <v>1</v>
      </c>
      <c r="J10">
        <v>280</v>
      </c>
      <c r="M10" t="str">
        <f>TRIM(MID(D10, FIND(",", D10)+1, FIND("/", D10)-FIND(",", D10)-1))</f>
        <v>R9 9955HX3D</v>
      </c>
      <c r="N10" t="str">
        <f>_xlfn.LET(
    _xlpm.txt, TRIM(MID(D10, FIND("/", D10)+1, LEN(D10))),
    IFERROR(LEFT(_xlpm.txt, FIND("Ti", _xlpm.txt)+1), LEFT(_xlpm.txt, FIND(" ", _xlpm.txt&amp;" ")-1))
)</f>
        <v>5070 Ti</v>
      </c>
      <c r="O10">
        <v>16</v>
      </c>
      <c r="P10" t="s">
        <v>86</v>
      </c>
      <c r="Q10">
        <v>1024</v>
      </c>
      <c r="R10">
        <v>0</v>
      </c>
      <c r="S10" t="str" cm="1">
        <f t="array" ref="S10">IFERROR(
    LOOKUP(2^15, SEARCH({"16","18","14"}, D10), {"16","18","14"}),
    ""
)</f>
        <v>16</v>
      </c>
      <c r="U10">
        <v>2</v>
      </c>
      <c r="V10">
        <v>8</v>
      </c>
      <c r="W10">
        <v>1</v>
      </c>
      <c r="AA10" t="s">
        <v>17</v>
      </c>
    </row>
    <row r="11" spans="1:28" x14ac:dyDescent="0.3">
      <c r="B11" t="s">
        <v>122</v>
      </c>
      <c r="C11" t="s">
        <v>149</v>
      </c>
      <c r="D11" t="s">
        <v>121</v>
      </c>
      <c r="E11" t="s">
        <v>123</v>
      </c>
      <c r="F11">
        <v>2</v>
      </c>
      <c r="H11">
        <v>1</v>
      </c>
      <c r="I11">
        <v>1</v>
      </c>
      <c r="J11">
        <v>285</v>
      </c>
      <c r="M11" t="str">
        <f>TRIM(MID(D11, FIND(",", D11)+1, FIND("/", D11)-FIND(",", D11)-1))</f>
        <v>R9 9955HX3D</v>
      </c>
      <c r="N11" t="str">
        <f>_xlfn.LET(
    _xlpm.txt, TRIM(MID(D11, FIND("/", D11)+1, LEN(D11))),
    IFERROR(LEFT(_xlpm.txt, FIND("Ti", _xlpm.txt)+1), LEFT(_xlpm.txt, FIND(" ", _xlpm.txt&amp;" ")-1))
)</f>
        <v>5070 Ti</v>
      </c>
      <c r="O11">
        <v>16</v>
      </c>
      <c r="P11" t="s">
        <v>86</v>
      </c>
      <c r="Q11">
        <v>1024</v>
      </c>
      <c r="R11">
        <v>0</v>
      </c>
      <c r="S11" t="str" cm="1">
        <f t="array" ref="S11">IFERROR(
    LOOKUP(2^15, SEARCH({"16","18","14"}, D11), {"16","18","14"}),
    ""
)</f>
        <v>16</v>
      </c>
      <c r="U11">
        <v>2</v>
      </c>
      <c r="V11">
        <v>8</v>
      </c>
      <c r="W11">
        <v>1</v>
      </c>
      <c r="AA11" t="s">
        <v>17</v>
      </c>
    </row>
    <row r="12" spans="1:28" x14ac:dyDescent="0.3">
      <c r="B12" t="s">
        <v>131</v>
      </c>
      <c r="C12" t="s">
        <v>149</v>
      </c>
      <c r="D12" t="s">
        <v>35</v>
      </c>
      <c r="H12">
        <v>1</v>
      </c>
      <c r="I12">
        <v>1</v>
      </c>
      <c r="J12">
        <v>400</v>
      </c>
      <c r="M12" t="str">
        <f>TRIM(MID(D12, FIND(",", D12)+1, FIND("/", D12)-FIND(",", D12)-1))</f>
        <v>U9 275HX</v>
      </c>
      <c r="N12" t="str">
        <f>_xlfn.LET(
    _xlpm.txt, TRIM(MID(D12, FIND("/", D12)+1, LEN(D12))),
    IFERROR(LEFT(_xlpm.txt, FIND("Ti", _xlpm.txt)+1), LEFT(_xlpm.txt, FIND(" ", _xlpm.txt&amp;" ")-1))
)</f>
        <v>5080</v>
      </c>
      <c r="O12">
        <v>32</v>
      </c>
      <c r="P12" t="s">
        <v>60</v>
      </c>
      <c r="Q12">
        <v>1024</v>
      </c>
      <c r="R12">
        <v>0</v>
      </c>
      <c r="S12" t="str" cm="1">
        <f t="array" ref="S12">IFERROR(
    LOOKUP(2^15, SEARCH({"16","18","14"}, D12), {"16","18","14"}),
    ""
)</f>
        <v>16</v>
      </c>
      <c r="U12">
        <v>2</v>
      </c>
      <c r="V12">
        <v>8</v>
      </c>
      <c r="W12">
        <v>1</v>
      </c>
      <c r="AA12" t="s">
        <v>17</v>
      </c>
    </row>
    <row r="13" spans="1:28" x14ac:dyDescent="0.3">
      <c r="B13" t="s">
        <v>132</v>
      </c>
      <c r="C13" t="s">
        <v>149</v>
      </c>
      <c r="D13" t="s">
        <v>48</v>
      </c>
      <c r="H13">
        <v>1</v>
      </c>
      <c r="I13">
        <v>1</v>
      </c>
      <c r="J13">
        <v>240</v>
      </c>
      <c r="M13" t="str">
        <f>TRIM(MID(D13, FIND(",", D13)+1, FIND("/", D13)-FIND(",", D13)-1))</f>
        <v>U9 275HX</v>
      </c>
      <c r="N13" t="str">
        <f>_xlfn.LET(
    _xlpm.txt, TRIM(MID(D13, FIND("/", D13)+1, LEN(D13))),
    IFERROR(LEFT(_xlpm.txt, FIND("Ti", _xlpm.txt)+1), LEFT(_xlpm.txt, FIND(" ", _xlpm.txt&amp;" ")-1))
)</f>
        <v>5070</v>
      </c>
      <c r="O13">
        <v>32</v>
      </c>
      <c r="P13" t="s">
        <v>60</v>
      </c>
      <c r="Q13">
        <v>1024</v>
      </c>
      <c r="R13">
        <v>0</v>
      </c>
      <c r="S13" t="str" cm="1">
        <f t="array" ref="S13">IFERROR(
    LOOKUP(2^15, SEARCH({"16","18","14"}, D13), {"16","18","14"}),
    ""
)</f>
        <v>18</v>
      </c>
      <c r="U13">
        <v>1</v>
      </c>
      <c r="V13">
        <v>8</v>
      </c>
      <c r="W13">
        <v>1</v>
      </c>
      <c r="AA13" t="s">
        <v>17</v>
      </c>
    </row>
    <row r="14" spans="1:28" x14ac:dyDescent="0.3">
      <c r="B14" t="s">
        <v>133</v>
      </c>
      <c r="C14" t="s">
        <v>149</v>
      </c>
      <c r="D14" t="s">
        <v>53</v>
      </c>
      <c r="H14">
        <v>1</v>
      </c>
      <c r="I14">
        <v>1</v>
      </c>
      <c r="J14">
        <v>285</v>
      </c>
      <c r="M14" t="str">
        <f>TRIM(MID(D14, FIND(",", D14)+1, FIND("/", D14)-FIND(",", D14)-1))</f>
        <v>U9 275HX</v>
      </c>
      <c r="N14" t="str">
        <f>_xlfn.LET(
    _xlpm.txt, TRIM(MID(D14, FIND("/", D14)+1, LEN(D14))),
    IFERROR(LEFT(_xlpm.txt, FIND("Ti", _xlpm.txt)+1), LEFT(_xlpm.txt, FIND(" ", _xlpm.txt&amp;" ")-1))
)</f>
        <v>5070 Ti</v>
      </c>
      <c r="O14">
        <v>32</v>
      </c>
      <c r="P14" t="s">
        <v>60</v>
      </c>
      <c r="Q14">
        <v>1024</v>
      </c>
      <c r="R14">
        <v>0</v>
      </c>
      <c r="S14" t="str" cm="1">
        <f t="array" ref="S14">IFERROR(
    LOOKUP(2^15, SEARCH({"16","18","14"}, D14), {"16","18","14"}),
    ""
)</f>
        <v>18</v>
      </c>
      <c r="U14">
        <v>1</v>
      </c>
      <c r="V14">
        <v>8</v>
      </c>
      <c r="W14">
        <v>1</v>
      </c>
      <c r="AA14" t="s">
        <v>17</v>
      </c>
    </row>
    <row r="15" spans="1:28" x14ac:dyDescent="0.3">
      <c r="B15" s="1" t="s">
        <v>100</v>
      </c>
      <c r="C15" t="s">
        <v>149</v>
      </c>
      <c r="D15" t="s">
        <v>22</v>
      </c>
      <c r="E15" t="s">
        <v>25</v>
      </c>
      <c r="F15">
        <v>1</v>
      </c>
      <c r="H15">
        <v>1</v>
      </c>
      <c r="I15">
        <v>1</v>
      </c>
      <c r="J15">
        <v>198</v>
      </c>
      <c r="M15" t="str">
        <f>TRIM(MID(D15, FIND(",", D15)+1, FIND("/", D15)-FIND(",", D15)-1))</f>
        <v>R7 260</v>
      </c>
      <c r="N15" t="str">
        <f>_xlfn.LET(
    _xlpm.txt, TRIM(MID(D15, FIND("/", D15)+1, LEN(D15))),
    IFERROR(LEFT(_xlpm.txt, FIND("Ti", _xlpm.txt)+1), LEFT(_xlpm.txt, FIND(" ", _xlpm.txt&amp;" ")-1))
)</f>
        <v>5060</v>
      </c>
      <c r="O15">
        <v>32</v>
      </c>
      <c r="P15" t="s">
        <v>61</v>
      </c>
      <c r="Q15">
        <v>512</v>
      </c>
      <c r="R15">
        <v>0</v>
      </c>
      <c r="S15" t="str" cm="1">
        <f t="array" ref="S15">IFERROR(
    LOOKUP(2^15, SEARCH({"16","18","14"}, D15), {"16","18","14"}),
    ""
)</f>
        <v>14</v>
      </c>
      <c r="U15">
        <v>9</v>
      </c>
      <c r="V15">
        <v>6</v>
      </c>
      <c r="W15">
        <v>0</v>
      </c>
      <c r="AA15" t="s">
        <v>17</v>
      </c>
    </row>
    <row r="16" spans="1:28" x14ac:dyDescent="0.3">
      <c r="B16" t="s">
        <v>101</v>
      </c>
      <c r="C16" t="s">
        <v>149</v>
      </c>
      <c r="D16" t="s">
        <v>22</v>
      </c>
      <c r="E16" t="s">
        <v>24</v>
      </c>
      <c r="F16">
        <v>2</v>
      </c>
      <c r="H16">
        <v>1</v>
      </c>
      <c r="I16">
        <v>1</v>
      </c>
      <c r="J16">
        <v>205</v>
      </c>
      <c r="M16" t="str">
        <f>TRIM(MID(D16, FIND(",", D16)+1, FIND("/", D16)-FIND(",", D16)-1))</f>
        <v>R7 260</v>
      </c>
      <c r="N16" t="str">
        <f>_xlfn.LET(
    _xlpm.txt, TRIM(MID(D16, FIND("/", D16)+1, LEN(D16))),
    IFERROR(LEFT(_xlpm.txt, FIND("Ti", _xlpm.txt)+1), LEFT(_xlpm.txt, FIND(" ", _xlpm.txt&amp;" ")-1))
)</f>
        <v>5060</v>
      </c>
      <c r="O16">
        <v>32</v>
      </c>
      <c r="P16" t="s">
        <v>61</v>
      </c>
      <c r="Q16">
        <v>1024</v>
      </c>
      <c r="R16">
        <v>0</v>
      </c>
      <c r="S16" t="str" cm="1">
        <f t="array" ref="S16">IFERROR(
    LOOKUP(2^15, SEARCH({"16","18","14"}, D16), {"16","18","14"}),
    ""
)</f>
        <v>14</v>
      </c>
      <c r="U16">
        <v>9</v>
      </c>
      <c r="V16">
        <v>6</v>
      </c>
      <c r="W16">
        <v>0</v>
      </c>
      <c r="AA16" t="s">
        <v>17</v>
      </c>
    </row>
    <row r="17" spans="2:27" x14ac:dyDescent="0.3">
      <c r="B17" s="1" t="s">
        <v>111</v>
      </c>
      <c r="C17" t="s">
        <v>149</v>
      </c>
      <c r="D17" t="s">
        <v>23</v>
      </c>
      <c r="H17">
        <v>1</v>
      </c>
      <c r="I17">
        <v>1</v>
      </c>
      <c r="J17">
        <v>215</v>
      </c>
      <c r="M17" t="str">
        <f>TRIM(MID(D17, FIND(",", D17)+1, FIND("/", D17)-FIND(",", D17)-1))</f>
        <v>R7 350</v>
      </c>
      <c r="N17" t="str">
        <f>_xlfn.LET(
    _xlpm.txt, TRIM(MID(D17, FIND("/", D17)+1, LEN(D17))),
    IFERROR(LEFT(_xlpm.txt, FIND("Ti", _xlpm.txt)+1), LEFT(_xlpm.txt, FIND(" ", _xlpm.txt&amp;" ")-1))
)</f>
        <v>5060</v>
      </c>
      <c r="O17">
        <v>32</v>
      </c>
      <c r="P17" t="s">
        <v>61</v>
      </c>
      <c r="Q17">
        <v>1024</v>
      </c>
      <c r="R17">
        <v>0</v>
      </c>
      <c r="S17" t="str" cm="1">
        <f t="array" ref="S17">IFERROR(
    LOOKUP(2^15, SEARCH({"16","18","14"}, D17), {"16","18","14"}),
    ""
)</f>
        <v>14</v>
      </c>
      <c r="U17">
        <v>9</v>
      </c>
      <c r="V17">
        <v>6</v>
      </c>
      <c r="W17">
        <v>0</v>
      </c>
      <c r="AA17" t="s">
        <v>17</v>
      </c>
    </row>
    <row r="18" spans="2:27" x14ac:dyDescent="0.3">
      <c r="B18" t="s">
        <v>102</v>
      </c>
      <c r="C18" t="s">
        <v>149</v>
      </c>
      <c r="D18" t="s">
        <v>27</v>
      </c>
      <c r="H18">
        <v>1</v>
      </c>
      <c r="I18">
        <v>1</v>
      </c>
      <c r="J18">
        <v>145</v>
      </c>
      <c r="M18" t="str">
        <f>TRIM(MID(D18, FIND(",", D18)+1, FIND("/", D18)-FIND(",", D18)-1))</f>
        <v>R7 260</v>
      </c>
      <c r="N18" t="str">
        <f>_xlfn.LET(
    _xlpm.txt, TRIM(MID(D18, FIND("/", D18)+1, LEN(D18))),
    IFERROR(LEFT(_xlpm.txt, FIND("Ti", _xlpm.txt)+1), LEFT(_xlpm.txt, FIND(" ", _xlpm.txt&amp;" ")-1))
)</f>
        <v>5050</v>
      </c>
      <c r="O18">
        <v>16</v>
      </c>
      <c r="P18" t="s">
        <v>86</v>
      </c>
      <c r="Q18">
        <v>512</v>
      </c>
      <c r="R18">
        <v>0</v>
      </c>
      <c r="S18" t="str" cm="1">
        <f t="array" ref="S18">IFERROR(
    LOOKUP(2^15, SEARCH({"16","18","14"}, D18), {"16","18","14"}),
    ""
)</f>
        <v>16</v>
      </c>
      <c r="U18">
        <v>6</v>
      </c>
      <c r="V18">
        <v>4</v>
      </c>
      <c r="W18">
        <v>0</v>
      </c>
      <c r="AA18" t="s">
        <v>17</v>
      </c>
    </row>
    <row r="19" spans="2:27" x14ac:dyDescent="0.3">
      <c r="B19" t="s">
        <v>103</v>
      </c>
      <c r="C19" t="s">
        <v>149</v>
      </c>
      <c r="D19" t="s">
        <v>26</v>
      </c>
      <c r="H19">
        <v>1</v>
      </c>
      <c r="I19">
        <v>1</v>
      </c>
      <c r="J19">
        <v>165</v>
      </c>
      <c r="M19" t="str">
        <f>TRIM(MID(D19, FIND(",", D19)+1, FIND("/", D19)-FIND(",", D19)-1))</f>
        <v>R7 260</v>
      </c>
      <c r="N19" t="str">
        <f>_xlfn.LET(
    _xlpm.txt, TRIM(MID(D19, FIND("/", D19)+1, LEN(D19))),
    IFERROR(LEFT(_xlpm.txt, FIND("Ti", _xlpm.txt)+1), LEFT(_xlpm.txt, FIND(" ", _xlpm.txt&amp;" ")-1))
)</f>
        <v>5060</v>
      </c>
      <c r="O19">
        <v>16</v>
      </c>
      <c r="P19" t="s">
        <v>86</v>
      </c>
      <c r="Q19">
        <v>512</v>
      </c>
      <c r="R19">
        <v>0</v>
      </c>
      <c r="S19" t="str" cm="1">
        <f t="array" ref="S19">IFERROR(
    LOOKUP(2^15, SEARCH({"16","18","14"}, D19), {"16","18","14"}),
    ""
)</f>
        <v>16</v>
      </c>
      <c r="U19">
        <v>6</v>
      </c>
      <c r="V19">
        <v>4</v>
      </c>
      <c r="W19">
        <v>0</v>
      </c>
      <c r="AA19" t="s">
        <v>17</v>
      </c>
    </row>
    <row r="20" spans="2:27" x14ac:dyDescent="0.3">
      <c r="B20" t="s">
        <v>104</v>
      </c>
      <c r="C20" t="s">
        <v>149</v>
      </c>
      <c r="D20" t="s">
        <v>38</v>
      </c>
      <c r="H20">
        <v>1</v>
      </c>
      <c r="I20">
        <v>1</v>
      </c>
      <c r="J20">
        <v>170</v>
      </c>
      <c r="M20" t="str">
        <f>TRIM(MID(D20, FIND(",", D20)+1, FIND("/", D20)-FIND(",", D20)-1))</f>
        <v>R7 260</v>
      </c>
      <c r="N20" t="str">
        <f>_xlfn.LET(
    _xlpm.txt, TRIM(MID(D20, FIND("/", D20)+1, LEN(D20))),
    IFERROR(LEFT(_xlpm.txt, FIND("Ti", _xlpm.txt)+1), LEFT(_xlpm.txt, FIND(" ", _xlpm.txt&amp;" ")-1))
)</f>
        <v>5060</v>
      </c>
      <c r="O20">
        <v>16</v>
      </c>
      <c r="P20" t="s">
        <v>86</v>
      </c>
      <c r="Q20">
        <v>512</v>
      </c>
      <c r="R20">
        <v>0</v>
      </c>
      <c r="S20" t="str" cm="1">
        <f t="array" ref="S20">IFERROR(
    LOOKUP(2^15, SEARCH({"16","18","14"}, D20), {"16","18","14"}),
    ""
)</f>
        <v>16</v>
      </c>
      <c r="U20">
        <v>6</v>
      </c>
      <c r="V20">
        <v>6</v>
      </c>
      <c r="W20">
        <v>0</v>
      </c>
      <c r="AA20" t="s">
        <v>17</v>
      </c>
    </row>
    <row r="21" spans="2:27" x14ac:dyDescent="0.3">
      <c r="B21" t="s">
        <v>117</v>
      </c>
      <c r="C21" t="s">
        <v>149</v>
      </c>
      <c r="D21" t="s">
        <v>28</v>
      </c>
      <c r="H21">
        <v>1</v>
      </c>
      <c r="I21">
        <v>1</v>
      </c>
      <c r="J21">
        <v>190</v>
      </c>
      <c r="M21" t="str">
        <f>TRIM(MID(D21, FIND(",", D21)+1, FIND("/", D21)-FIND(",", D21)-1))</f>
        <v>R9 8940HX</v>
      </c>
      <c r="N21" t="str">
        <f>_xlfn.LET(
    _xlpm.txt, TRIM(MID(D21, FIND("/", D21)+1, LEN(D21))),
    IFERROR(LEFT(_xlpm.txt, FIND("Ti", _xlpm.txt)+1), LEFT(_xlpm.txt, FIND(" ", _xlpm.txt&amp;" ")-1))
)</f>
        <v>5070</v>
      </c>
      <c r="O21">
        <v>16</v>
      </c>
      <c r="P21" t="s">
        <v>86</v>
      </c>
      <c r="Q21">
        <v>512</v>
      </c>
      <c r="R21">
        <v>0</v>
      </c>
      <c r="S21" t="str" cm="1">
        <f t="array" ref="S21">IFERROR(
    LOOKUP(2^15, SEARCH({"16","18","14"}, D21), {"16","18","14"}),
    ""
)</f>
        <v>16</v>
      </c>
      <c r="U21">
        <v>5</v>
      </c>
      <c r="V21">
        <v>6</v>
      </c>
      <c r="W21">
        <v>1</v>
      </c>
      <c r="AA21" t="s">
        <v>17</v>
      </c>
    </row>
    <row r="22" spans="2:27" x14ac:dyDescent="0.3">
      <c r="B22" t="s">
        <v>105</v>
      </c>
      <c r="C22" t="s">
        <v>149</v>
      </c>
      <c r="D22" t="s">
        <v>39</v>
      </c>
      <c r="H22">
        <v>1</v>
      </c>
      <c r="I22">
        <v>1</v>
      </c>
      <c r="J22">
        <v>160</v>
      </c>
      <c r="M22" t="str">
        <f>TRIM(MID(D22, FIND(",", D22)+1, FIND("/", D22)-FIND(",", D22)-1))</f>
        <v>R7 260</v>
      </c>
      <c r="N22" t="str">
        <f>_xlfn.LET(
    _xlpm.txt, TRIM(MID(D22, FIND("/", D22)+1, LEN(D22))),
    IFERROR(LEFT(_xlpm.txt, FIND("Ti", _xlpm.txt)+1), LEFT(_xlpm.txt, FIND(" ", _xlpm.txt&amp;" ")-1))
)</f>
        <v>5050</v>
      </c>
      <c r="O22">
        <v>16</v>
      </c>
      <c r="P22" t="s">
        <v>86</v>
      </c>
      <c r="Q22">
        <v>512</v>
      </c>
      <c r="R22">
        <v>0</v>
      </c>
      <c r="S22" t="str" cm="1">
        <f t="array" ref="S22">IFERROR(
    LOOKUP(2^15, SEARCH({"16","18","14"}, D22), {"16","18","14"}),
    ""
)</f>
        <v>18</v>
      </c>
      <c r="U22">
        <v>1</v>
      </c>
      <c r="V22">
        <v>4</v>
      </c>
      <c r="W22">
        <v>0</v>
      </c>
      <c r="AA22" t="s">
        <v>17</v>
      </c>
    </row>
    <row r="23" spans="2:27" x14ac:dyDescent="0.3">
      <c r="B23" t="s">
        <v>106</v>
      </c>
      <c r="C23" t="s">
        <v>149</v>
      </c>
      <c r="D23" t="s">
        <v>40</v>
      </c>
      <c r="H23">
        <v>1</v>
      </c>
      <c r="I23">
        <v>1</v>
      </c>
      <c r="J23">
        <v>180</v>
      </c>
      <c r="M23" t="str">
        <f>TRIM(MID(D23, FIND(",", D23)+1, FIND("/", D23)-FIND(",", D23)-1))</f>
        <v>R7 260</v>
      </c>
      <c r="N23" t="str">
        <f>_xlfn.LET(
    _xlpm.txt, TRIM(MID(D23, FIND("/", D23)+1, LEN(D23))),
    IFERROR(LEFT(_xlpm.txt, FIND("Ti", _xlpm.txt)+1), LEFT(_xlpm.txt, FIND(" ", _xlpm.txt&amp;" ")-1))
)</f>
        <v>5060</v>
      </c>
      <c r="O23">
        <v>16</v>
      </c>
      <c r="P23" t="s">
        <v>86</v>
      </c>
      <c r="Q23">
        <v>512</v>
      </c>
      <c r="R23">
        <v>0</v>
      </c>
      <c r="S23" t="str" cm="1">
        <f t="array" ref="S23">IFERROR(
    LOOKUP(2^15, SEARCH({"16","18","14"}, D23), {"16","18","14"}),
    ""
)</f>
        <v>18</v>
      </c>
      <c r="U23">
        <v>1</v>
      </c>
      <c r="V23">
        <v>4</v>
      </c>
      <c r="W23">
        <v>0</v>
      </c>
      <c r="AA23" t="s">
        <v>17</v>
      </c>
    </row>
    <row r="24" spans="2:27" x14ac:dyDescent="0.3">
      <c r="B24" t="s">
        <v>107</v>
      </c>
      <c r="C24" t="s">
        <v>149</v>
      </c>
      <c r="D24" t="s">
        <v>41</v>
      </c>
      <c r="H24">
        <v>1</v>
      </c>
      <c r="I24">
        <v>1</v>
      </c>
      <c r="J24">
        <v>200</v>
      </c>
      <c r="M24" t="str">
        <f>TRIM(MID(D24, FIND(",", D24)+1, FIND("/", D24)-FIND(",", D24)-1))</f>
        <v>R7 260</v>
      </c>
      <c r="N24" t="str">
        <f>_xlfn.LET(
    _xlpm.txt, TRIM(MID(D24, FIND("/", D24)+1, LEN(D24))),
    IFERROR(LEFT(_xlpm.txt, FIND("Ti", _xlpm.txt)+1), LEFT(_xlpm.txt, FIND(" ", _xlpm.txt&amp;" ")-1))
)</f>
        <v>5070</v>
      </c>
      <c r="O24">
        <v>16</v>
      </c>
      <c r="P24" t="s">
        <v>86</v>
      </c>
      <c r="Q24">
        <v>512</v>
      </c>
      <c r="R24">
        <v>0</v>
      </c>
      <c r="S24" t="str" cm="1">
        <f t="array" ref="S24">IFERROR(
    LOOKUP(2^15, SEARCH({"16","18","14"}, D24), {"16","18","14"}),
    ""
)</f>
        <v>18</v>
      </c>
      <c r="U24">
        <v>1</v>
      </c>
      <c r="V24">
        <v>4</v>
      </c>
      <c r="W24">
        <v>0</v>
      </c>
      <c r="AA24" t="s">
        <v>16</v>
      </c>
    </row>
    <row r="25" spans="2:27" x14ac:dyDescent="0.3">
      <c r="B25" t="s">
        <v>84</v>
      </c>
      <c r="C25" t="s">
        <v>149</v>
      </c>
      <c r="D25" t="s">
        <v>85</v>
      </c>
      <c r="H25">
        <v>1</v>
      </c>
      <c r="I25">
        <v>1</v>
      </c>
      <c r="J25">
        <v>140</v>
      </c>
      <c r="M25" t="str">
        <f>TRIM(MID(D25, FIND(",", D25)+1, FIND("/", D25)-FIND(",", D25)-1))</f>
        <v>i5 14450HX</v>
      </c>
      <c r="N25" t="str">
        <f>_xlfn.LET(
    _xlpm.txt, TRIM(MID(D25, FIND("/", D25)+1, LEN(D25))),
    IFERROR(LEFT(_xlpm.txt, FIND("Ti", _xlpm.txt)+1), LEFT(_xlpm.txt, FIND(" ", _xlpm.txt&amp;" ")-1))
)</f>
        <v>5050</v>
      </c>
      <c r="O25">
        <v>16</v>
      </c>
      <c r="P25" t="s">
        <v>86</v>
      </c>
      <c r="Q25">
        <v>512</v>
      </c>
      <c r="R25">
        <v>0</v>
      </c>
      <c r="S25" t="str" cm="1">
        <f t="array" ref="S25">IFERROR(
    LOOKUP(2^15, SEARCH({"16","18","14"}, D25), {"16","18","14"}),
    ""
)</f>
        <v>14</v>
      </c>
      <c r="U25">
        <v>5</v>
      </c>
      <c r="V25">
        <v>4</v>
      </c>
      <c r="W25">
        <v>1</v>
      </c>
      <c r="AA25" t="s">
        <v>16</v>
      </c>
    </row>
    <row r="26" spans="2:27" x14ac:dyDescent="0.3">
      <c r="B26" t="s">
        <v>91</v>
      </c>
      <c r="C26" t="s">
        <v>149</v>
      </c>
      <c r="D26" t="s">
        <v>92</v>
      </c>
      <c r="H26">
        <v>1</v>
      </c>
      <c r="I26">
        <v>1</v>
      </c>
      <c r="J26">
        <v>165</v>
      </c>
      <c r="M26" t="str">
        <f>TRIM(MID(D26, FIND(",", D26)+1, FIND("/", D26)-FIND(",", D26)-1))</f>
        <v>i7 14650HX</v>
      </c>
      <c r="N26" t="str">
        <f>_xlfn.LET(
    _xlpm.txt, TRIM(MID(D26, FIND("/", D26)+1, LEN(D26))),
    IFERROR(LEFT(_xlpm.txt, FIND("Ti", _xlpm.txt)+1), LEFT(_xlpm.txt, FIND(" ", _xlpm.txt&amp;" ")-1))
)</f>
        <v>5060</v>
      </c>
      <c r="O26">
        <v>16</v>
      </c>
      <c r="P26" t="s">
        <v>86</v>
      </c>
      <c r="Q26">
        <v>512</v>
      </c>
      <c r="R26">
        <v>0</v>
      </c>
      <c r="S26" t="str" cm="1">
        <f t="array" ref="S26">IFERROR(
    LOOKUP(2^15, SEARCH({"16","18","14"}, D26), {"16","18","14"}),
    ""
)</f>
        <v>14</v>
      </c>
      <c r="U26">
        <v>5</v>
      </c>
      <c r="V26">
        <v>6</v>
      </c>
      <c r="W26">
        <v>1</v>
      </c>
      <c r="AA26" t="s">
        <v>56</v>
      </c>
    </row>
    <row r="27" spans="2:27" x14ac:dyDescent="0.3">
      <c r="B27" t="s">
        <v>93</v>
      </c>
      <c r="C27" t="s">
        <v>149</v>
      </c>
      <c r="D27" t="s">
        <v>94</v>
      </c>
      <c r="H27">
        <v>1</v>
      </c>
      <c r="I27">
        <v>1</v>
      </c>
      <c r="J27">
        <v>185</v>
      </c>
      <c r="M27" t="str">
        <f>TRIM(MID(D27, FIND(",", D27)+1, FIND("/", D27)-FIND(",", D27)-1))</f>
        <v>i7 14650HX</v>
      </c>
      <c r="N27" t="str">
        <f>_xlfn.LET(
    _xlpm.txt, TRIM(MID(D27, FIND("/", D27)+1, LEN(D27))),
    IFERROR(LEFT(_xlpm.txt, FIND("Ti", _xlpm.txt)+1), LEFT(_xlpm.txt, FIND(" ", _xlpm.txt&amp;" ")-1))
)</f>
        <v>5070</v>
      </c>
      <c r="O27">
        <v>16</v>
      </c>
      <c r="P27" t="s">
        <v>86</v>
      </c>
      <c r="Q27">
        <v>512</v>
      </c>
      <c r="R27">
        <v>0</v>
      </c>
      <c r="S27" t="str" cm="1">
        <f t="array" ref="S27">IFERROR(
    LOOKUP(2^15, SEARCH({"16","18","14"}, D27), {"16","18","14"}),
    ""
)</f>
        <v>14</v>
      </c>
      <c r="U27">
        <v>5</v>
      </c>
      <c r="V27">
        <v>6</v>
      </c>
      <c r="W27">
        <v>1</v>
      </c>
      <c r="AA27" t="s">
        <v>16</v>
      </c>
    </row>
    <row r="28" spans="2:27" x14ac:dyDescent="0.3">
      <c r="B28" t="s">
        <v>143</v>
      </c>
      <c r="C28" t="s">
        <v>144</v>
      </c>
      <c r="D28" t="s">
        <v>68</v>
      </c>
      <c r="E28" t="s">
        <v>71</v>
      </c>
      <c r="F28">
        <v>1</v>
      </c>
      <c r="H28">
        <v>1</v>
      </c>
      <c r="I28">
        <v>1</v>
      </c>
      <c r="J28">
        <v>180</v>
      </c>
      <c r="M28" t="str">
        <f>TRIM(MID(D28, FIND(",", D28)+1, FIND("/", D28)-FIND(",", D28)-1))</f>
        <v>R7 350</v>
      </c>
      <c r="N28" t="str">
        <f>_xlfn.LET(
    _xlpm.txt, TRIM(MID(D28, FIND("/", D28)+1, LEN(D28))),
    IFERROR(LEFT(_xlpm.txt, FIND("Ti", _xlpm.txt)+1), LEFT(_xlpm.txt, FIND(" ", _xlpm.txt&amp;" ")-1))
)</f>
        <v>5060</v>
      </c>
      <c r="O28">
        <v>16</v>
      </c>
      <c r="P28" t="s">
        <v>155</v>
      </c>
      <c r="Q28">
        <v>512</v>
      </c>
      <c r="R28">
        <v>0</v>
      </c>
      <c r="S28">
        <v>16</v>
      </c>
      <c r="U28">
        <v>8</v>
      </c>
      <c r="V28">
        <v>6</v>
      </c>
      <c r="W28">
        <v>0</v>
      </c>
      <c r="X28">
        <v>190</v>
      </c>
      <c r="Y28">
        <v>76</v>
      </c>
      <c r="AA28" t="s">
        <v>16</v>
      </c>
    </row>
    <row r="29" spans="2:27" x14ac:dyDescent="0.3">
      <c r="B29" t="s">
        <v>145</v>
      </c>
      <c r="C29" t="s">
        <v>154</v>
      </c>
      <c r="D29" t="s">
        <v>68</v>
      </c>
      <c r="E29" t="s">
        <v>72</v>
      </c>
      <c r="F29">
        <v>2</v>
      </c>
      <c r="H29">
        <v>1</v>
      </c>
      <c r="I29">
        <v>1</v>
      </c>
      <c r="J29">
        <v>195</v>
      </c>
      <c r="M29" t="str">
        <f>TRIM(MID(D29, FIND(",", D29)+1, FIND("/", D29)-FIND(",", D29)-1))</f>
        <v>R7 350</v>
      </c>
      <c r="N29">
        <v>5060</v>
      </c>
      <c r="O29">
        <v>32</v>
      </c>
      <c r="P29" t="s">
        <v>155</v>
      </c>
      <c r="Q29">
        <v>512</v>
      </c>
      <c r="R29">
        <v>0</v>
      </c>
      <c r="S29">
        <v>16</v>
      </c>
      <c r="U29">
        <v>8</v>
      </c>
      <c r="V29">
        <v>6</v>
      </c>
      <c r="W29">
        <v>0</v>
      </c>
      <c r="X29">
        <v>190</v>
      </c>
      <c r="Y29">
        <v>76</v>
      </c>
      <c r="AA29" t="s">
        <v>16</v>
      </c>
    </row>
    <row r="30" spans="2:27" x14ac:dyDescent="0.3">
      <c r="B30" s="2" t="s">
        <v>82</v>
      </c>
      <c r="C30" t="s">
        <v>150</v>
      </c>
      <c r="D30" t="s">
        <v>83</v>
      </c>
      <c r="H30">
        <v>1</v>
      </c>
      <c r="I30">
        <v>1</v>
      </c>
      <c r="J30">
        <v>125</v>
      </c>
      <c r="M30" t="str">
        <f>TRIM(MID(D30, FIND(",", D30)+1, FIND("/", D30)-FIND(",", D30)-1))</f>
        <v>i5 13500HX</v>
      </c>
      <c r="N30" t="str">
        <f>_xlfn.LET(
    _xlpm.txt, TRIM(MID(D30, FIND("/", D30)+1, LEN(D30))),
    IFERROR(LEFT(_xlpm.txt, FIND("Ti", _xlpm.txt)+1), LEFT(_xlpm.txt, FIND(" ", _xlpm.txt&amp;" ")-1))
)</f>
        <v>4060</v>
      </c>
      <c r="O30">
        <v>16</v>
      </c>
      <c r="P30" t="s">
        <v>60</v>
      </c>
      <c r="Q30">
        <v>512</v>
      </c>
      <c r="R30">
        <v>0</v>
      </c>
      <c r="S30" t="str" cm="1">
        <f t="array" ref="S30">IFERROR(
    LOOKUP(2^15, SEARCH({"16","18","14"}, D30), {"16","18","14"}),
    ""
)</f>
        <v>16</v>
      </c>
      <c r="U30">
        <v>3</v>
      </c>
      <c r="V30">
        <v>4</v>
      </c>
      <c r="W30">
        <v>1</v>
      </c>
      <c r="AA30" t="s">
        <v>16</v>
      </c>
    </row>
    <row r="31" spans="2:27" x14ac:dyDescent="0.3">
      <c r="B31" t="s">
        <v>87</v>
      </c>
      <c r="C31" t="s">
        <v>150</v>
      </c>
      <c r="D31" t="s">
        <v>88</v>
      </c>
      <c r="H31">
        <v>1</v>
      </c>
      <c r="I31">
        <v>1</v>
      </c>
      <c r="J31">
        <v>130</v>
      </c>
      <c r="M31" t="str">
        <f>TRIM(MID(D31, FIND(",", D31)+1, FIND("/", D31)-FIND(",", D31)-1))</f>
        <v>i5 14450HX</v>
      </c>
      <c r="N31" t="str">
        <f>_xlfn.LET(
    _xlpm.txt, TRIM(MID(D31, FIND("/", D31)+1, LEN(D31))),
    IFERROR(LEFT(_xlpm.txt, FIND("Ti", _xlpm.txt)+1), LEFT(_xlpm.txt, FIND(" ", _xlpm.txt&amp;" ")-1))
)</f>
        <v>4060</v>
      </c>
      <c r="O31">
        <v>16</v>
      </c>
      <c r="P31" t="s">
        <v>60</v>
      </c>
      <c r="Q31">
        <v>512</v>
      </c>
      <c r="R31">
        <v>0</v>
      </c>
      <c r="S31" t="str" cm="1">
        <f t="array" ref="S31">IFERROR(
    LOOKUP(2^15, SEARCH({"16","18","14"}, D31), {"16","18","14"}),
    ""
)</f>
        <v>14</v>
      </c>
      <c r="U31">
        <v>3</v>
      </c>
      <c r="V31">
        <v>4</v>
      </c>
      <c r="W31">
        <v>1</v>
      </c>
      <c r="AA31" t="s">
        <v>16</v>
      </c>
    </row>
    <row r="32" spans="2:27" x14ac:dyDescent="0.3">
      <c r="B32" t="s">
        <v>89</v>
      </c>
      <c r="C32" t="s">
        <v>150</v>
      </c>
      <c r="D32" t="s">
        <v>90</v>
      </c>
      <c r="H32">
        <v>1</v>
      </c>
      <c r="I32">
        <v>1</v>
      </c>
      <c r="J32">
        <v>180</v>
      </c>
      <c r="M32" t="str">
        <f>TRIM(MID(D32, FIND(",", D32)+1, FIND("/", D32)-FIND(",", D32)-1))</f>
        <v>i5 14450HX</v>
      </c>
      <c r="N32" t="str">
        <f>_xlfn.LET(
    _xlpm.txt, TRIM(MID(D32, FIND("/", D32)+1, LEN(D32))),
    IFERROR(LEFT(_xlpm.txt, FIND("Ti", _xlpm.txt)+1), LEFT(_xlpm.txt, FIND(" ", _xlpm.txt&amp;" ")-1))
)</f>
        <v>5060</v>
      </c>
      <c r="O32">
        <v>24</v>
      </c>
      <c r="P32" t="s">
        <v>86</v>
      </c>
      <c r="Q32">
        <v>1024</v>
      </c>
      <c r="R32">
        <v>0</v>
      </c>
      <c r="S32" t="str" cm="1">
        <f t="array" ref="S32">IFERROR(
    LOOKUP(2^15, SEARCH({"16","18","14"}, D32), {"16","18","14"}),
    ""
)</f>
        <v>14</v>
      </c>
      <c r="U32">
        <v>4</v>
      </c>
      <c r="V32">
        <v>6</v>
      </c>
      <c r="W32">
        <v>1</v>
      </c>
      <c r="AA32" t="s">
        <v>16</v>
      </c>
    </row>
    <row r="33" spans="2:27" x14ac:dyDescent="0.3">
      <c r="B33" t="s">
        <v>112</v>
      </c>
      <c r="C33" t="s">
        <v>150</v>
      </c>
      <c r="D33" t="s">
        <v>20</v>
      </c>
      <c r="H33">
        <v>1</v>
      </c>
      <c r="I33">
        <v>1</v>
      </c>
      <c r="J33">
        <v>200</v>
      </c>
      <c r="M33" t="str">
        <f>TRIM(MID(D33, FIND(",", D33)+1, FIND("/", D33)-FIND(",", D33)-1))</f>
        <v>R7 350</v>
      </c>
      <c r="N33" t="str">
        <f>_xlfn.LET(
    _xlpm.txt, TRIM(MID(D33, FIND("/", D33)+1, LEN(D33))),
    IFERROR(LEFT(_xlpm.txt, FIND("Ti", _xlpm.txt)+1), LEFT(_xlpm.txt, FIND(" ", _xlpm.txt&amp;" ")-1))
)</f>
        <v>5060</v>
      </c>
      <c r="O33">
        <v>32</v>
      </c>
      <c r="P33" t="s">
        <v>60</v>
      </c>
      <c r="Q33">
        <v>512</v>
      </c>
      <c r="R33">
        <v>0</v>
      </c>
      <c r="S33" t="str" cm="1">
        <f t="array" ref="S33">IFERROR(
    LOOKUP(2^15, SEARCH({"16","18","14"}, D33), {"16","18","14"}),
    ""
)</f>
        <v>16</v>
      </c>
      <c r="U33">
        <v>3</v>
      </c>
      <c r="V33">
        <v>7</v>
      </c>
      <c r="W33">
        <v>0</v>
      </c>
      <c r="AA33" t="s">
        <v>16</v>
      </c>
    </row>
    <row r="34" spans="2:27" x14ac:dyDescent="0.3">
      <c r="B34" s="1" t="s">
        <v>118</v>
      </c>
      <c r="C34" t="s">
        <v>150</v>
      </c>
      <c r="D34" t="s">
        <v>21</v>
      </c>
      <c r="H34">
        <v>1</v>
      </c>
      <c r="I34">
        <v>1</v>
      </c>
      <c r="J34">
        <v>200</v>
      </c>
      <c r="M34" t="str">
        <f>TRIM(MID(D34, FIND(",", D34)+1, FIND("/", D34)-FIND(",", D34)-1))</f>
        <v>R9 8940HX</v>
      </c>
      <c r="N34" t="str">
        <f>_xlfn.LET(
    _xlpm.txt, TRIM(MID(D34, FIND("/", D34)+1, LEN(D34))),
    IFERROR(LEFT(_xlpm.txt, FIND("Ti", _xlpm.txt)+1), LEFT(_xlpm.txt, FIND(" ", _xlpm.txt&amp;" ")-1))
)</f>
        <v>5060</v>
      </c>
      <c r="O34">
        <v>32</v>
      </c>
      <c r="P34" t="s">
        <v>60</v>
      </c>
      <c r="Q34">
        <v>1024</v>
      </c>
      <c r="R34">
        <v>0</v>
      </c>
      <c r="S34" t="str" cm="1">
        <f t="array" ref="S34">IFERROR(
    LOOKUP(2^15, SEARCH({"16","18","14"}, D34), {"16","18","14"}),
    ""
)</f>
        <v>16</v>
      </c>
      <c r="U34">
        <v>3</v>
      </c>
      <c r="V34">
        <v>7</v>
      </c>
      <c r="W34">
        <v>1</v>
      </c>
      <c r="AA34" t="s">
        <v>16</v>
      </c>
    </row>
    <row r="35" spans="2:27" x14ac:dyDescent="0.3">
      <c r="B35" s="1" t="s">
        <v>124</v>
      </c>
      <c r="C35" t="s">
        <v>150</v>
      </c>
      <c r="D35" t="s">
        <v>64</v>
      </c>
      <c r="H35">
        <v>1</v>
      </c>
      <c r="I35">
        <v>1</v>
      </c>
      <c r="J35">
        <v>185</v>
      </c>
      <c r="M35" t="str">
        <f>TRIM(MID(D35, FIND(",", D35)+1, FIND("/", D35)-FIND(",", D35)-1))</f>
        <v>U7 255H</v>
      </c>
      <c r="N35" t="str">
        <f>_xlfn.LET(
    _xlpm.txt, TRIM(MID(D35, FIND("/", D35)+1, LEN(D35))),
    IFERROR(LEFT(_xlpm.txt, FIND("Ti", _xlpm.txt)+1), LEFT(_xlpm.txt, FIND(" ", _xlpm.txt&amp;" ")-1))
)</f>
        <v>5060</v>
      </c>
      <c r="O35">
        <v>24</v>
      </c>
      <c r="P35" t="s">
        <v>86</v>
      </c>
      <c r="Q35">
        <v>1024</v>
      </c>
      <c r="R35">
        <v>0</v>
      </c>
      <c r="S35" t="str" cm="1">
        <f t="array" ref="S35">IFERROR(
    LOOKUP(2^15, SEARCH({"16","18","14"}, D35), {"16","18","14"}),
    ""
)</f>
        <v>16</v>
      </c>
      <c r="U35">
        <v>3</v>
      </c>
      <c r="V35">
        <v>7</v>
      </c>
      <c r="W35">
        <v>0</v>
      </c>
      <c r="AA35" t="s">
        <v>16</v>
      </c>
    </row>
    <row r="36" spans="2:27" x14ac:dyDescent="0.3">
      <c r="B36" t="s">
        <v>113</v>
      </c>
      <c r="C36" t="s">
        <v>150</v>
      </c>
      <c r="D36" t="s">
        <v>34</v>
      </c>
      <c r="H36">
        <v>1</v>
      </c>
      <c r="I36">
        <v>1</v>
      </c>
      <c r="J36">
        <v>210</v>
      </c>
      <c r="M36" t="str">
        <f>TRIM(MID(D36, FIND(",", D36)+1, FIND("/", D36)-FIND(",", D36)-1))</f>
        <v>R7 350</v>
      </c>
      <c r="N36" t="str">
        <f>_xlfn.LET(
    _xlpm.txt, TRIM(MID(D36, FIND("/", D36)+1, LEN(D36))),
    IFERROR(LEFT(_xlpm.txt, FIND("Ti", _xlpm.txt)+1), LEFT(_xlpm.txt, FIND(" ", _xlpm.txt&amp;" ")-1))
)</f>
        <v>5060</v>
      </c>
      <c r="O36">
        <v>32</v>
      </c>
      <c r="P36" t="s">
        <v>60</v>
      </c>
      <c r="Q36">
        <v>512</v>
      </c>
      <c r="R36">
        <v>0</v>
      </c>
      <c r="S36">
        <v>17.3</v>
      </c>
      <c r="U36">
        <v>1</v>
      </c>
      <c r="V36">
        <v>7</v>
      </c>
      <c r="W36">
        <v>0</v>
      </c>
      <c r="AA36" t="s">
        <v>16</v>
      </c>
    </row>
    <row r="37" spans="2:27" x14ac:dyDescent="0.3">
      <c r="B37" t="s">
        <v>114</v>
      </c>
      <c r="C37" t="s">
        <v>150</v>
      </c>
      <c r="D37" t="s">
        <v>32</v>
      </c>
      <c r="H37">
        <v>1</v>
      </c>
      <c r="I37">
        <v>1</v>
      </c>
      <c r="J37">
        <v>280</v>
      </c>
      <c r="M37" t="str">
        <f>TRIM(MID(D37, FIND(",", D37)+1, FIND("/", D37)-FIND(",", D37)-1))</f>
        <v>R7 350</v>
      </c>
      <c r="N37" t="str">
        <f>_xlfn.LET(
    _xlpm.txt, TRIM(MID(D37, FIND("/", D37)+1, LEN(D37))),
    IFERROR(LEFT(_xlpm.txt, FIND("Ti", _xlpm.txt)+1), LEFT(_xlpm.txt, FIND(" ", _xlpm.txt&amp;" ")-1))
)</f>
        <v>5070 Ti</v>
      </c>
      <c r="O37">
        <v>32</v>
      </c>
      <c r="P37" t="s">
        <v>60</v>
      </c>
      <c r="Q37">
        <v>1024</v>
      </c>
      <c r="R37">
        <v>1</v>
      </c>
      <c r="S37" t="str" cm="1">
        <f t="array" ref="S37">IFERROR(
    LOOKUP(2^15, SEARCH({"16","18","14"}, D37), {"16","18","14"}),
    ""
)</f>
        <v>16</v>
      </c>
      <c r="U37">
        <v>1</v>
      </c>
      <c r="V37">
        <v>7</v>
      </c>
      <c r="W37">
        <v>0</v>
      </c>
      <c r="AA37" t="s">
        <v>16</v>
      </c>
    </row>
    <row r="38" spans="2:27" x14ac:dyDescent="0.3">
      <c r="B38" t="s">
        <v>115</v>
      </c>
      <c r="C38" t="s">
        <v>150</v>
      </c>
      <c r="D38" t="s">
        <v>30</v>
      </c>
      <c r="H38">
        <v>1</v>
      </c>
      <c r="I38">
        <v>1</v>
      </c>
      <c r="J38">
        <v>230</v>
      </c>
      <c r="M38" t="str">
        <f>TRIM(MID(D38, FIND(",", D38)+1, FIND("/", D38)-FIND(",", D38)-1))</f>
        <v>R9 375HX</v>
      </c>
      <c r="N38" t="str">
        <f>_xlfn.LET(
    _xlpm.txt, TRIM(MID(D38, FIND("/", D38)+1, LEN(D38))),
    IFERROR(LEFT(_xlpm.txt, FIND("Ti", _xlpm.txt)+1), LEFT(_xlpm.txt, FIND(" ", _xlpm.txt&amp;" ")-1))
)</f>
        <v>5060</v>
      </c>
      <c r="O38">
        <v>32</v>
      </c>
      <c r="P38" t="s">
        <v>60</v>
      </c>
      <c r="Q38">
        <v>512</v>
      </c>
      <c r="R38">
        <v>1</v>
      </c>
      <c r="S38" t="str" cm="1">
        <f t="array" ref="S38">IFERROR(
    LOOKUP(2^15, SEARCH({"16","18","14"}, D38), {"16","18","14"}),
    ""
)</f>
        <v>16</v>
      </c>
      <c r="U38">
        <v>2</v>
      </c>
      <c r="V38">
        <v>7</v>
      </c>
      <c r="W38">
        <v>0</v>
      </c>
      <c r="AA38" t="s">
        <v>16</v>
      </c>
    </row>
    <row r="39" spans="2:27" x14ac:dyDescent="0.3">
      <c r="B39" t="s">
        <v>116</v>
      </c>
      <c r="C39" t="s">
        <v>150</v>
      </c>
      <c r="D39" t="s">
        <v>36</v>
      </c>
      <c r="H39">
        <v>1</v>
      </c>
      <c r="I39">
        <v>1</v>
      </c>
      <c r="J39">
        <v>450</v>
      </c>
      <c r="M39" t="str">
        <f>TRIM(MID(D39, FIND(",", D39)+1, FIND("/", D39)-FIND(",", D39)-1))</f>
        <v>R9 375HX</v>
      </c>
      <c r="N39" t="str">
        <f>_xlfn.LET(
    _xlpm.txt, TRIM(MID(D39, FIND("/", D39)+1, LEN(D39))),
    IFERROR(LEFT(_xlpm.txt, FIND("Ti", _xlpm.txt)+1), LEFT(_xlpm.txt, FIND(" ", _xlpm.txt&amp;" ")-1))
)</f>
        <v>5080</v>
      </c>
      <c r="O39">
        <v>32</v>
      </c>
      <c r="P39" t="s">
        <v>60</v>
      </c>
      <c r="Q39">
        <v>1024</v>
      </c>
      <c r="R39">
        <v>1</v>
      </c>
      <c r="S39" t="str" cm="1">
        <f t="array" ref="S39">IFERROR(
    LOOKUP(2^15, SEARCH({"16","18","14"}, D39), {"16","18","14"}),
    ""
)</f>
        <v>16</v>
      </c>
      <c r="U39">
        <v>1</v>
      </c>
      <c r="V39">
        <v>7</v>
      </c>
      <c r="W39">
        <v>0</v>
      </c>
      <c r="AA39" t="s">
        <v>16</v>
      </c>
    </row>
    <row r="40" spans="2:27" x14ac:dyDescent="0.3">
      <c r="B40" t="s">
        <v>81</v>
      </c>
      <c r="C40" t="s">
        <v>150</v>
      </c>
      <c r="D40" t="s">
        <v>63</v>
      </c>
      <c r="H40">
        <v>1</v>
      </c>
      <c r="I40">
        <v>1</v>
      </c>
      <c r="J40">
        <v>250</v>
      </c>
      <c r="M40" t="str">
        <f>TRIM(MID(D40, FIND(",", D40)+1, FIND("/", D40)-FIND(",", D40)-1))</f>
        <v>U7 255HX</v>
      </c>
      <c r="N40" t="str">
        <f>_xlfn.LET(
    _xlpm.txt, TRIM(MID(D40, FIND("/", D40)+1, LEN(D40))),
    IFERROR(LEFT(_xlpm.txt, FIND("Ti", _xlpm.txt)+1), LEFT(_xlpm.txt, FIND(" ", _xlpm.txt&amp;" ")-1))
)</f>
        <v>5060</v>
      </c>
      <c r="O40">
        <v>32</v>
      </c>
      <c r="P40" t="s">
        <v>60</v>
      </c>
      <c r="Q40">
        <v>1024</v>
      </c>
      <c r="R40">
        <v>1</v>
      </c>
      <c r="S40" t="str" cm="1">
        <f t="array" ref="S40">IFERROR(
    LOOKUP(2^15, SEARCH({"16","18","14"}, D40), {"16","18","14"}),
    ""
)</f>
        <v>16</v>
      </c>
      <c r="U40">
        <v>2</v>
      </c>
      <c r="V40">
        <v>9</v>
      </c>
      <c r="W40">
        <v>1</v>
      </c>
      <c r="AA40" t="s">
        <v>16</v>
      </c>
    </row>
    <row r="41" spans="2:27" x14ac:dyDescent="0.3">
      <c r="B41" t="s">
        <v>134</v>
      </c>
      <c r="C41" t="s">
        <v>150</v>
      </c>
      <c r="D41" t="s">
        <v>31</v>
      </c>
      <c r="H41">
        <v>1</v>
      </c>
      <c r="I41">
        <v>1</v>
      </c>
      <c r="J41">
        <v>255</v>
      </c>
      <c r="M41" t="str">
        <f>TRIM(MID(D41, FIND(",", D41)+1, FIND("/", D41)-FIND(",", D41)-1))</f>
        <v>U9 275HX</v>
      </c>
      <c r="N41" t="str">
        <f>_xlfn.LET(
    _xlpm.txt, TRIM(MID(D41, FIND("/", D41)+1, LEN(D41))),
    IFERROR(LEFT(_xlpm.txt, FIND("Ti", _xlpm.txt)+1), LEFT(_xlpm.txt, FIND(" ", _xlpm.txt&amp;" ")-1))
)</f>
        <v>5070</v>
      </c>
      <c r="O41">
        <v>32</v>
      </c>
      <c r="P41" t="s">
        <v>60</v>
      </c>
      <c r="Q41">
        <v>1024</v>
      </c>
      <c r="R41">
        <v>1</v>
      </c>
      <c r="S41" t="str" cm="1">
        <f t="array" ref="S41">IFERROR(
    LOOKUP(2^15, SEARCH({"16","18","14"}, D41), {"16","18","14"}),
    ""
)</f>
        <v>16</v>
      </c>
      <c r="U41">
        <v>2</v>
      </c>
      <c r="V41">
        <v>7</v>
      </c>
      <c r="W41">
        <v>1</v>
      </c>
      <c r="AA41" t="s">
        <v>16</v>
      </c>
    </row>
    <row r="42" spans="2:27" x14ac:dyDescent="0.3">
      <c r="B42" t="s">
        <v>135</v>
      </c>
      <c r="C42" t="s">
        <v>150</v>
      </c>
      <c r="D42" t="s">
        <v>33</v>
      </c>
      <c r="H42">
        <v>1</v>
      </c>
      <c r="I42">
        <v>1</v>
      </c>
      <c r="J42">
        <v>320</v>
      </c>
      <c r="M42" t="str">
        <f>TRIM(MID(D42, FIND(",", D42)+1, FIND("/", D42)-FIND(",", D42)-1))</f>
        <v>U9 275HX</v>
      </c>
      <c r="N42" t="str">
        <f>_xlfn.LET(
    _xlpm.txt, TRIM(MID(D42, FIND("/", D42)+1, LEN(D42))),
    IFERROR(LEFT(_xlpm.txt, FIND("Ti", _xlpm.txt)+1), LEFT(_xlpm.txt, FIND(" ", _xlpm.txt&amp;" ")-1))
)</f>
        <v>5070 Ti</v>
      </c>
      <c r="O42">
        <v>32</v>
      </c>
      <c r="P42" t="s">
        <v>60</v>
      </c>
      <c r="Q42">
        <v>1024</v>
      </c>
      <c r="R42">
        <v>1</v>
      </c>
      <c r="S42" t="str" cm="1">
        <f t="array" ref="S42">IFERROR(
    LOOKUP(2^15, SEARCH({"16","18","14"}, D42), {"16","18","14"}),
    ""
)</f>
        <v>16</v>
      </c>
      <c r="U42">
        <v>1</v>
      </c>
      <c r="V42">
        <v>7</v>
      </c>
      <c r="W42">
        <v>1</v>
      </c>
      <c r="AA42" t="s">
        <v>16</v>
      </c>
    </row>
    <row r="43" spans="2:27" x14ac:dyDescent="0.3">
      <c r="B43" t="s">
        <v>98</v>
      </c>
      <c r="C43" t="s">
        <v>153</v>
      </c>
      <c r="D43" t="s">
        <v>151</v>
      </c>
      <c r="H43">
        <v>1</v>
      </c>
      <c r="I43">
        <v>1</v>
      </c>
      <c r="J43">
        <v>140</v>
      </c>
      <c r="M43" t="str">
        <f>TRIM(MID(D43, FIND(",", D43)+1, FIND("/", D43)-FIND(",", D43)-1))</f>
        <v>R7 250</v>
      </c>
      <c r="N43" t="str">
        <f>_xlfn.LET(
    _xlpm.txt, TRIM(MID(D43, FIND("/", D43)+1, LEN(D43))),
    IFERROR(LEFT(_xlpm.txt, FIND("Ti", _xlpm.txt)+1), LEFT(_xlpm.txt, FIND(" ", _xlpm.txt&amp;" ")-1))
)</f>
        <v>5060</v>
      </c>
      <c r="O43">
        <v>16</v>
      </c>
      <c r="P43" t="s">
        <v>86</v>
      </c>
      <c r="Q43">
        <v>512</v>
      </c>
      <c r="R43">
        <v>0</v>
      </c>
      <c r="S43">
        <v>15.6</v>
      </c>
      <c r="U43">
        <v>2</v>
      </c>
      <c r="V43">
        <v>3</v>
      </c>
      <c r="W43">
        <v>0</v>
      </c>
      <c r="AA43" t="s">
        <v>16</v>
      </c>
    </row>
    <row r="44" spans="2:27" x14ac:dyDescent="0.3">
      <c r="B44" s="2" t="s">
        <v>156</v>
      </c>
      <c r="C44" t="s">
        <v>153</v>
      </c>
      <c r="D44" t="s">
        <v>152</v>
      </c>
      <c r="H44">
        <v>1</v>
      </c>
      <c r="I44">
        <v>1</v>
      </c>
      <c r="J44">
        <v>178</v>
      </c>
      <c r="M44" t="str">
        <f>TRIM(MID(D44, FIND(",", D44)+1, FIND("/", D44)-FIND(",", D44)-1))</f>
        <v>R7 260</v>
      </c>
      <c r="N44" t="str">
        <f>_xlfn.LET(
    _xlpm.txt, TRIM(MID(D44, FIND("/", D44)+1, LEN(D44))),
    IFERROR(LEFT(_xlpm.txt, FIND("Ti", _xlpm.txt)+1), LEFT(_xlpm.txt, FIND(" ", _xlpm.txt&amp;" ")-1))
)</f>
        <v>5060</v>
      </c>
      <c r="O44">
        <v>24</v>
      </c>
      <c r="P44" t="s">
        <v>86</v>
      </c>
      <c r="Q44">
        <v>512</v>
      </c>
      <c r="R44">
        <v>0</v>
      </c>
      <c r="S44">
        <v>15.1</v>
      </c>
      <c r="U44">
        <v>6</v>
      </c>
      <c r="V44">
        <v>8</v>
      </c>
      <c r="W44">
        <v>0</v>
      </c>
      <c r="AA44" t="s">
        <v>16</v>
      </c>
    </row>
    <row r="45" spans="2:27" x14ac:dyDescent="0.3">
      <c r="B45" s="1" t="s">
        <v>157</v>
      </c>
      <c r="C45" t="s">
        <v>153</v>
      </c>
      <c r="D45" t="s">
        <v>19</v>
      </c>
      <c r="H45">
        <v>1</v>
      </c>
      <c r="I45">
        <v>1</v>
      </c>
      <c r="J45">
        <v>225</v>
      </c>
      <c r="M45" t="str">
        <f>TRIM(MID(D45, FIND(",", D45)+1, FIND("/", D45)-FIND(",", D45)-1))</f>
        <v>R7 350</v>
      </c>
      <c r="N45" t="str">
        <f>_xlfn.LET(
    _xlpm.txt, TRIM(MID(D45, FIND("/", D45)+1, LEN(D45))),
    IFERROR(LEFT(_xlpm.txt, FIND("Ti", _xlpm.txt)+1), LEFT(_xlpm.txt, FIND(" ", _xlpm.txt&amp;" ")-1))
)</f>
        <v>5070</v>
      </c>
      <c r="O45">
        <v>32</v>
      </c>
      <c r="P45" t="s">
        <v>60</v>
      </c>
      <c r="Q45">
        <v>1024</v>
      </c>
      <c r="R45">
        <v>0</v>
      </c>
      <c r="S45">
        <v>15.1</v>
      </c>
      <c r="U45">
        <v>6</v>
      </c>
      <c r="V45">
        <v>8</v>
      </c>
      <c r="W45">
        <v>0</v>
      </c>
      <c r="AA45" t="s">
        <v>16</v>
      </c>
    </row>
    <row r="46" spans="2:27" x14ac:dyDescent="0.3">
      <c r="B46" t="s">
        <v>136</v>
      </c>
      <c r="C46" t="s">
        <v>153</v>
      </c>
      <c r="D46" t="s">
        <v>47</v>
      </c>
      <c r="H46">
        <v>1</v>
      </c>
      <c r="I46">
        <v>1</v>
      </c>
      <c r="J46">
        <v>330</v>
      </c>
      <c r="M46" t="str">
        <f>TRIM(MID(D46, FIND(",", D46)+1, FIND("/", D46)-FIND(",", D46)-1))</f>
        <v>U9 275HX</v>
      </c>
      <c r="N46" t="str">
        <f>_xlfn.LET(
    _xlpm.txt, TRIM(MID(D46, FIND("/", D46)+1, LEN(D46))),
    IFERROR(LEFT(_xlpm.txt, FIND("Ti", _xlpm.txt)+1), LEFT(_xlpm.txt, FIND(" ", _xlpm.txt&amp;" ")-1))
)</f>
        <v>5070</v>
      </c>
      <c r="O46">
        <v>32</v>
      </c>
      <c r="P46" t="s">
        <v>60</v>
      </c>
      <c r="Q46">
        <v>1024</v>
      </c>
      <c r="R46">
        <v>0</v>
      </c>
      <c r="S46" t="str" cm="1">
        <f t="array" ref="S46">IFERROR(
    LOOKUP(2^15, SEARCH({"16","18","14"}, D46), {"16","18","14"}),
    ""
)</f>
        <v>16</v>
      </c>
      <c r="U46">
        <v>7</v>
      </c>
      <c r="V46">
        <v>9</v>
      </c>
      <c r="W46">
        <v>1</v>
      </c>
      <c r="AA46" t="s">
        <v>16</v>
      </c>
    </row>
    <row r="47" spans="2:27" x14ac:dyDescent="0.3">
      <c r="B47" t="s">
        <v>137</v>
      </c>
      <c r="C47" t="s">
        <v>153</v>
      </c>
      <c r="D47" t="s">
        <v>146</v>
      </c>
      <c r="H47">
        <v>1</v>
      </c>
      <c r="I47">
        <v>1</v>
      </c>
      <c r="J47">
        <v>245</v>
      </c>
      <c r="M47" t="str">
        <f>TRIM(MID(D47, FIND(",", D47)+1, FIND("/", D47)-FIND(",", D47)-1))</f>
        <v>U9 275HX</v>
      </c>
      <c r="N47" t="str">
        <f>_xlfn.LET(
    _xlpm.txt, TRIM(MID(D47, FIND("/", D47)+1, LEN(D47))),
    IFERROR(LEFT(_xlpm.txt, FIND("Ti", _xlpm.txt)+1), LEFT(_xlpm.txt, FIND(" ", _xlpm.txt&amp;" ")-1))
)</f>
        <v>5070</v>
      </c>
      <c r="O47">
        <v>32</v>
      </c>
      <c r="P47" t="s">
        <v>60</v>
      </c>
      <c r="Q47">
        <v>1024</v>
      </c>
      <c r="R47">
        <v>0</v>
      </c>
      <c r="S47" t="str" cm="1">
        <f t="array" ref="S47">IFERROR(
    LOOKUP(2^15, SEARCH({"16","18","14"}, D47), {"16","18","14"}),
    ""
)</f>
        <v>16</v>
      </c>
      <c r="U47">
        <v>3</v>
      </c>
      <c r="V47">
        <v>8</v>
      </c>
      <c r="W47">
        <v>1</v>
      </c>
      <c r="X47">
        <v>243</v>
      </c>
      <c r="Y47">
        <v>80</v>
      </c>
      <c r="AA47" t="s">
        <v>16</v>
      </c>
    </row>
    <row r="48" spans="2:27" x14ac:dyDescent="0.3">
      <c r="B48" t="s">
        <v>138</v>
      </c>
      <c r="C48" t="s">
        <v>153</v>
      </c>
      <c r="D48" t="s">
        <v>52</v>
      </c>
      <c r="H48">
        <v>1</v>
      </c>
      <c r="I48">
        <v>1</v>
      </c>
      <c r="J48">
        <v>310</v>
      </c>
      <c r="M48" t="str">
        <f>TRIM(MID(D48, FIND(",", D48)+1, FIND("/", D48)-FIND(",", D48)-1))</f>
        <v>U9 275HX</v>
      </c>
      <c r="N48" t="str">
        <f>_xlfn.LET(
    _xlpm.txt, TRIM(MID(D48, FIND("/", D48)+1, LEN(D48))),
    IFERROR(LEFT(_xlpm.txt, FIND("Ti", _xlpm.txt)+1), LEFT(_xlpm.txt, FIND(" ", _xlpm.txt&amp;" ")-1))
)</f>
        <v>5070 Ti</v>
      </c>
      <c r="O48">
        <v>32</v>
      </c>
      <c r="P48" t="s">
        <v>60</v>
      </c>
      <c r="Q48">
        <v>1024</v>
      </c>
      <c r="R48">
        <v>0</v>
      </c>
      <c r="S48" t="str" cm="1">
        <f t="array" ref="S48">IFERROR(
    LOOKUP(2^15, SEARCH({"16","18","14"}, D48), {"16","18","14"}),
    ""
)</f>
        <v>16</v>
      </c>
      <c r="U48">
        <v>3</v>
      </c>
      <c r="V48">
        <v>9</v>
      </c>
      <c r="W48">
        <v>1</v>
      </c>
      <c r="X48">
        <v>243</v>
      </c>
      <c r="Y48">
        <v>80</v>
      </c>
      <c r="AA48" t="s">
        <v>16</v>
      </c>
    </row>
    <row r="49" spans="2:27" x14ac:dyDescent="0.3">
      <c r="B49" t="s">
        <v>140</v>
      </c>
      <c r="C49" t="s">
        <v>153</v>
      </c>
      <c r="D49" t="s">
        <v>148</v>
      </c>
      <c r="H49">
        <v>1</v>
      </c>
      <c r="I49">
        <v>1</v>
      </c>
      <c r="J49">
        <v>370</v>
      </c>
      <c r="M49" t="str">
        <f>TRIM(MID(D49, FIND(",", D49)+1, FIND("/", D49)-FIND(",", D49)-1))</f>
        <v>U9 275HX</v>
      </c>
      <c r="N49" t="str">
        <f>_xlfn.LET(
    _xlpm.txt, TRIM(MID(D49, FIND("/", D49)+1, LEN(D49))),
    IFERROR(LEFT(_xlpm.txt, FIND("Ti", _xlpm.txt)+1), LEFT(_xlpm.txt, FIND(" ", _xlpm.txt&amp;" ")-1))
)</f>
        <v>5070 Ti</v>
      </c>
      <c r="O49">
        <v>32</v>
      </c>
      <c r="P49" t="s">
        <v>60</v>
      </c>
      <c r="Q49">
        <v>1024</v>
      </c>
      <c r="R49">
        <v>0</v>
      </c>
      <c r="S49" t="str" cm="1">
        <f t="array" ref="S49">IFERROR(
    LOOKUP(2^15, SEARCH({"16","18","14"}, D49), {"16","18","14"}),
    ""
)</f>
        <v>16</v>
      </c>
      <c r="U49">
        <v>2</v>
      </c>
      <c r="V49">
        <v>9</v>
      </c>
      <c r="W49">
        <v>1</v>
      </c>
      <c r="X49">
        <v>257</v>
      </c>
      <c r="Y49">
        <v>80</v>
      </c>
      <c r="AA49" t="s">
        <v>16</v>
      </c>
    </row>
    <row r="50" spans="2:27" x14ac:dyDescent="0.3">
      <c r="B50" t="s">
        <v>139</v>
      </c>
      <c r="C50" t="s">
        <v>153</v>
      </c>
      <c r="D50" t="s">
        <v>147</v>
      </c>
      <c r="H50">
        <v>1</v>
      </c>
      <c r="I50">
        <v>1</v>
      </c>
      <c r="J50">
        <v>430</v>
      </c>
      <c r="M50" t="str">
        <f>TRIM(MID(D50, FIND(",", D50)+1, FIND("/", D50)-FIND(",", D50)-1))</f>
        <v>U9 275HX</v>
      </c>
      <c r="N50" t="str">
        <f>_xlfn.LET(
    _xlpm.txt, TRIM(MID(D50, FIND("/", D50)+1, LEN(D50))),
    IFERROR(LEFT(_xlpm.txt, FIND("Ti", _xlpm.txt)+1), LEFT(_xlpm.txt, FIND(" ", _xlpm.txt&amp;" ")-1))
)</f>
        <v>5080</v>
      </c>
      <c r="O50">
        <v>32</v>
      </c>
      <c r="P50" t="s">
        <v>60</v>
      </c>
      <c r="Q50">
        <v>1024</v>
      </c>
      <c r="R50">
        <v>0</v>
      </c>
      <c r="S50" t="str" cm="1">
        <f t="array" ref="S50">IFERROR(
    LOOKUP(2^15, SEARCH({"16","18","14"}, D50), {"16","18","14"}),
    ""
)</f>
        <v>16</v>
      </c>
      <c r="U50">
        <v>2</v>
      </c>
      <c r="V50">
        <v>9</v>
      </c>
      <c r="W50">
        <v>1</v>
      </c>
      <c r="X50">
        <v>257</v>
      </c>
      <c r="Y50">
        <v>80</v>
      </c>
      <c r="AA50" t="s">
        <v>16</v>
      </c>
    </row>
    <row r="51" spans="2:27" x14ac:dyDescent="0.3">
      <c r="B51" t="s">
        <v>141</v>
      </c>
      <c r="C51" t="s">
        <v>65</v>
      </c>
      <c r="D51" t="s">
        <v>69</v>
      </c>
      <c r="H51">
        <v>1</v>
      </c>
      <c r="I51">
        <v>1</v>
      </c>
      <c r="J51">
        <v>270</v>
      </c>
      <c r="M51" t="str">
        <f>TRIM(MID(D51, FIND(",", D51)+1, FIND("/", D51)-FIND(",", D51)-1))</f>
        <v>U5 225H</v>
      </c>
      <c r="N51" t="str">
        <f>_xlfn.LET(
    _xlpm.txt, TRIM(MID(D51, FIND("/", D51)+1, LEN(D51))),
    IFERROR(LEFT(_xlpm.txt, FIND("Ti", _xlpm.txt)+1), LEFT(_xlpm.txt, FIND(" ", _xlpm.txt&amp;" ")-1))
)</f>
        <v>5050</v>
      </c>
      <c r="S51" t="str" cm="1">
        <f t="array" ref="S51">IFERROR(
    LOOKUP(2^15, SEARCH({"16","18","14"}, D51), {"16","18","14"}),
    ""
)</f>
        <v>16</v>
      </c>
      <c r="U51">
        <v>13</v>
      </c>
      <c r="V51">
        <v>6</v>
      </c>
      <c r="W51">
        <v>0</v>
      </c>
      <c r="X51">
        <v>136</v>
      </c>
      <c r="Y51">
        <v>90</v>
      </c>
      <c r="AA51" t="s">
        <v>16</v>
      </c>
    </row>
    <row r="52" spans="2:27" x14ac:dyDescent="0.3">
      <c r="B52" t="s">
        <v>142</v>
      </c>
      <c r="C52" t="s">
        <v>65</v>
      </c>
      <c r="D52" t="s">
        <v>70</v>
      </c>
      <c r="E52" t="s">
        <v>66</v>
      </c>
      <c r="F52">
        <v>1</v>
      </c>
      <c r="H52">
        <v>1</v>
      </c>
      <c r="I52">
        <v>1</v>
      </c>
      <c r="J52">
        <v>280</v>
      </c>
      <c r="M52" t="str">
        <f>TRIM(MID(D52, FIND(",", D52)+1, FIND("/", D52)-FIND(",", D52)-1))</f>
        <v>U5 225H</v>
      </c>
      <c r="N52" t="str">
        <f>_xlfn.LET(
    _xlpm.txt, TRIM(MID(D52, FIND("/", D52)+1, LEN(D52))),
    IFERROR(LEFT(_xlpm.txt, FIND("Ti", _xlpm.txt)+1), LEFT(_xlpm.txt, FIND(" ", _xlpm.txt&amp;" ")-1))
)</f>
        <v>5050</v>
      </c>
      <c r="S52" t="str" cm="1">
        <f t="array" ref="S52">IFERROR(
    LOOKUP(2^15, SEARCH({"16","18","14"}, D52), {"16","18","14"}),
    ""
)</f>
        <v/>
      </c>
      <c r="U52">
        <v>13</v>
      </c>
      <c r="V52">
        <v>6</v>
      </c>
      <c r="W52">
        <v>0</v>
      </c>
      <c r="X52">
        <v>148</v>
      </c>
      <c r="Y52">
        <v>90</v>
      </c>
      <c r="AA52" t="s">
        <v>16</v>
      </c>
    </row>
    <row r="53" spans="2:27" x14ac:dyDescent="0.3">
      <c r="B53" t="s">
        <v>143</v>
      </c>
      <c r="C53" t="s">
        <v>65</v>
      </c>
      <c r="D53" t="s">
        <v>70</v>
      </c>
      <c r="E53" t="s">
        <v>67</v>
      </c>
      <c r="F53">
        <v>2</v>
      </c>
      <c r="H53">
        <v>1</v>
      </c>
      <c r="I53">
        <v>1</v>
      </c>
      <c r="J53">
        <v>280</v>
      </c>
      <c r="M53" t="str">
        <f>TRIM(MID(D53, FIND(",", D53)+1, FIND("/", D53)-FIND(",", D53)-1))</f>
        <v>U5 225H</v>
      </c>
      <c r="N53" t="str">
        <f>_xlfn.LET(
    _xlpm.txt, TRIM(MID(D53, FIND("/", D53)+1, LEN(D53))),
    IFERROR(LEFT(_xlpm.txt, FIND("Ti", _xlpm.txt)+1), LEFT(_xlpm.txt, FIND(" ", _xlpm.txt&amp;" ")-1))
)</f>
        <v>5050</v>
      </c>
      <c r="U53">
        <v>13</v>
      </c>
      <c r="V53">
        <v>6</v>
      </c>
      <c r="W53">
        <v>0</v>
      </c>
      <c r="X53">
        <v>148</v>
      </c>
      <c r="Y53">
        <v>90</v>
      </c>
      <c r="AA53" t="s">
        <v>16</v>
      </c>
    </row>
    <row r="54" spans="2:27" x14ac:dyDescent="0.3">
      <c r="B54" t="s">
        <v>119</v>
      </c>
      <c r="C54" t="s">
        <v>96</v>
      </c>
      <c r="D54" t="s">
        <v>37</v>
      </c>
      <c r="H54">
        <v>1</v>
      </c>
      <c r="I54">
        <v>1</v>
      </c>
      <c r="J54">
        <v>450</v>
      </c>
      <c r="M54" t="str">
        <f>TRIM(MID(D54, FIND(",", D54)+1, FIND("/", D54)-FIND(",", D54)-1))</f>
        <v>R9 9955HX</v>
      </c>
      <c r="N54" t="str">
        <f>_xlfn.LET(
    _xlpm.txt, TRIM(MID(D54, FIND("/", D54)+1, LEN(D54))),
    IFERROR(LEFT(_xlpm.txt, FIND("Ti", _xlpm.txt)+1), LEFT(_xlpm.txt, FIND(" ", _xlpm.txt&amp;" ")-1))
)</f>
        <v>5080</v>
      </c>
      <c r="O54">
        <v>16</v>
      </c>
      <c r="P54" t="s">
        <v>60</v>
      </c>
      <c r="Q54">
        <v>1024</v>
      </c>
      <c r="R54">
        <v>0</v>
      </c>
      <c r="S54" t="str" cm="1">
        <f t="array" ref="S54">IFERROR(
    LOOKUP(2^15, SEARCH({"16","18","14"}, D54), {"16","18","14"}),
    ""
)</f>
        <v>18</v>
      </c>
      <c r="U54">
        <v>1</v>
      </c>
      <c r="V54">
        <v>8</v>
      </c>
      <c r="W54">
        <v>1</v>
      </c>
      <c r="X54">
        <v>360</v>
      </c>
      <c r="Y54">
        <v>99</v>
      </c>
      <c r="AA54" t="s">
        <v>16</v>
      </c>
    </row>
    <row r="55" spans="2:27" x14ac:dyDescent="0.3">
      <c r="B55" t="s">
        <v>125</v>
      </c>
      <c r="C55" t="s">
        <v>96</v>
      </c>
      <c r="D55" t="s">
        <v>54</v>
      </c>
      <c r="H55">
        <v>1</v>
      </c>
      <c r="I55">
        <v>1</v>
      </c>
      <c r="J55">
        <v>260</v>
      </c>
      <c r="M55" t="str">
        <f>TRIM(MID(D55, FIND(",", D55)+1, FIND("/", D55)-FIND(",", D55)-1))</f>
        <v>U7 275HX</v>
      </c>
      <c r="N55" t="str">
        <f>_xlfn.LET(
    _xlpm.txt, TRIM(MID(D55, FIND("/", D55)+1, LEN(D55))),
    IFERROR(LEFT(_xlpm.txt, FIND("Ti", _xlpm.txt)+1), LEFT(_xlpm.txt, FIND(" ", _xlpm.txt&amp;" ")-1))
)</f>
        <v>5070 Ti</v>
      </c>
      <c r="O55">
        <v>16</v>
      </c>
      <c r="P55" t="s">
        <v>60</v>
      </c>
      <c r="Q55">
        <v>1024</v>
      </c>
      <c r="R55">
        <v>0</v>
      </c>
      <c r="S55" t="str" cm="1">
        <f t="array" ref="S55">IFERROR(
    LOOKUP(2^15, SEARCH({"16","18","14"}, D55), {"16","18","14"}),
    ""
)</f>
        <v>16</v>
      </c>
      <c r="U55">
        <v>1</v>
      </c>
      <c r="V55">
        <v>8</v>
      </c>
      <c r="W55">
        <v>1</v>
      </c>
      <c r="X55">
        <v>270</v>
      </c>
      <c r="Y55">
        <v>90</v>
      </c>
      <c r="AA55" t="s">
        <v>16</v>
      </c>
    </row>
    <row r="56" spans="2:27" x14ac:dyDescent="0.3">
      <c r="B56" t="s">
        <v>126</v>
      </c>
      <c r="C56" t="s">
        <v>96</v>
      </c>
      <c r="D56" t="s">
        <v>49</v>
      </c>
      <c r="H56">
        <v>1</v>
      </c>
      <c r="I56">
        <v>1</v>
      </c>
      <c r="J56">
        <v>330</v>
      </c>
      <c r="M56" t="str">
        <f>TRIM(MID(D56, FIND(",", D56)+1, FIND("/", D56)-FIND(",", D56)-1))</f>
        <v>U7 275HX</v>
      </c>
      <c r="N56" t="str">
        <f>_xlfn.LET(
    _xlpm.txt, TRIM(MID(D56, FIND("/", D56)+1, LEN(D56))),
    IFERROR(LEFT(_xlpm.txt, FIND("Ti", _xlpm.txt)+1), LEFT(_xlpm.txt, FIND(" ", _xlpm.txt&amp;" ")-1))
)</f>
        <v>5080</v>
      </c>
      <c r="O56">
        <v>16</v>
      </c>
      <c r="P56" t="s">
        <v>60</v>
      </c>
      <c r="Q56">
        <v>1024</v>
      </c>
      <c r="R56">
        <v>0</v>
      </c>
      <c r="S56" t="str" cm="1">
        <f t="array" ref="S56">IFERROR(
    LOOKUP(2^15, SEARCH({"16","18","14"}, D56), {"16","18","14"}),
    ""
)</f>
        <v>16</v>
      </c>
      <c r="U56">
        <v>1</v>
      </c>
      <c r="V56">
        <v>8</v>
      </c>
      <c r="W56">
        <v>1</v>
      </c>
      <c r="X56">
        <v>270</v>
      </c>
      <c r="Y56">
        <v>90</v>
      </c>
      <c r="AA56" t="s">
        <v>16</v>
      </c>
    </row>
    <row r="57" spans="2:27" x14ac:dyDescent="0.3">
      <c r="B57" t="s">
        <v>95</v>
      </c>
      <c r="C57" t="s">
        <v>96</v>
      </c>
      <c r="D57" t="s">
        <v>97</v>
      </c>
      <c r="H57">
        <v>1</v>
      </c>
      <c r="I57">
        <v>1</v>
      </c>
      <c r="J57">
        <v>165</v>
      </c>
      <c r="M57" t="str">
        <f>TRIM(MID(D57, FIND(",", D57)+1, FIND("/", D57)-FIND(",", D57)-1))</f>
        <v>i7 14650HX</v>
      </c>
      <c r="N57" t="str">
        <f>_xlfn.LET(
    _xlpm.txt, TRIM(MID(D57, FIND("/", D57)+1, LEN(D57))),
    IFERROR(LEFT(_xlpm.txt, FIND("Ti", _xlpm.txt)+1), LEFT(_xlpm.txt, FIND(" ", _xlpm.txt&amp;" ")-1))
)</f>
        <v>5060</v>
      </c>
      <c r="O57">
        <v>16</v>
      </c>
      <c r="P57" t="s">
        <v>60</v>
      </c>
      <c r="Q57">
        <v>512</v>
      </c>
      <c r="R57">
        <v>0</v>
      </c>
      <c r="S57" t="str" cm="1">
        <f t="array" ref="S57">IFERROR(
    LOOKUP(2^15, SEARCH({"16","18","14"}, D57), {"16","18","14"}),
    ""
)</f>
        <v>14</v>
      </c>
      <c r="U57">
        <v>1</v>
      </c>
      <c r="V57">
        <v>8</v>
      </c>
      <c r="W57">
        <v>1</v>
      </c>
      <c r="X57">
        <v>270</v>
      </c>
      <c r="Y57">
        <v>75</v>
      </c>
      <c r="AA57" t="s">
        <v>16</v>
      </c>
    </row>
    <row r="58" spans="2:27" x14ac:dyDescent="0.3">
      <c r="M58" t="e">
        <f>TRIM(MID(D58, FIND(",", D58)+1, FIND("/", D58)-FIND(",", D58)-1))</f>
        <v>#VALUE!</v>
      </c>
      <c r="AA58" t="s">
        <v>16</v>
      </c>
    </row>
    <row r="59" spans="2:27" x14ac:dyDescent="0.3">
      <c r="M59" t="e">
        <f>TRIM(MID(D59, FIND(",", D59)+1, FIND("/", D59)-FIND(",", D59)-1))</f>
        <v>#VALUE!</v>
      </c>
      <c r="AA59" t="s">
        <v>16</v>
      </c>
    </row>
    <row r="60" spans="2:27" x14ac:dyDescent="0.3">
      <c r="AA60" t="s">
        <v>16</v>
      </c>
    </row>
    <row r="61" spans="2:27" x14ac:dyDescent="0.3">
      <c r="AA61" t="s">
        <v>16</v>
      </c>
    </row>
    <row r="62" spans="2:27" x14ac:dyDescent="0.3">
      <c r="AA62" t="s">
        <v>16</v>
      </c>
    </row>
    <row r="63" spans="2:27" x14ac:dyDescent="0.3">
      <c r="AA63" t="s">
        <v>16</v>
      </c>
    </row>
    <row r="64" spans="2:27" x14ac:dyDescent="0.3">
      <c r="AA64" t="s">
        <v>16</v>
      </c>
    </row>
    <row r="65" spans="27:27" x14ac:dyDescent="0.3">
      <c r="AA65" t="s">
        <v>16</v>
      </c>
    </row>
    <row r="66" spans="27:27" x14ac:dyDescent="0.3">
      <c r="AA66" t="s">
        <v>16</v>
      </c>
    </row>
    <row r="67" spans="27:27" x14ac:dyDescent="0.3">
      <c r="AA67" t="s">
        <v>16</v>
      </c>
    </row>
    <row r="68" spans="27:27" x14ac:dyDescent="0.3">
      <c r="AA68" t="s">
        <v>16</v>
      </c>
    </row>
    <row r="69" spans="27:27" x14ac:dyDescent="0.3">
      <c r="AA69" t="s">
        <v>16</v>
      </c>
    </row>
    <row r="70" spans="27:27" x14ac:dyDescent="0.3">
      <c r="AA70" t="s">
        <v>16</v>
      </c>
    </row>
    <row r="71" spans="27:27" x14ac:dyDescent="0.3">
      <c r="AA71" t="s">
        <v>16</v>
      </c>
    </row>
    <row r="72" spans="27:27" x14ac:dyDescent="0.3">
      <c r="AA72" t="s">
        <v>16</v>
      </c>
    </row>
    <row r="73" spans="27:27" x14ac:dyDescent="0.3">
      <c r="AA73" t="s">
        <v>16</v>
      </c>
    </row>
    <row r="74" spans="27:27" x14ac:dyDescent="0.3">
      <c r="AA74" t="s">
        <v>16</v>
      </c>
    </row>
    <row r="75" spans="27:27" x14ac:dyDescent="0.3">
      <c r="AA75" t="s">
        <v>16</v>
      </c>
    </row>
    <row r="76" spans="27:27" x14ac:dyDescent="0.3">
      <c r="AA76" t="s">
        <v>16</v>
      </c>
    </row>
    <row r="77" spans="27:27" x14ac:dyDescent="0.3">
      <c r="AA77" t="s">
        <v>16</v>
      </c>
    </row>
    <row r="78" spans="27:27" x14ac:dyDescent="0.3">
      <c r="AA78" t="s">
        <v>16</v>
      </c>
    </row>
  </sheetData>
  <sortState xmlns:xlrd2="http://schemas.microsoft.com/office/spreadsheetml/2017/richdata2" ref="A2:Y80">
    <sortCondition ref="C1:C80"/>
  </sortState>
  <phoneticPr fontId="18" type="noConversion"/>
  <hyperlinks>
    <hyperlink ref="B15" r:id="rId1" display="https://www.coupang.com/vp/products/8852815391?itemId=25809161282&amp;vendorItemId=92796439383" xr:uid="{108D5653-76A3-468D-822D-5792F977922A}"/>
    <hyperlink ref="B17" r:id="rId2" display="https://www.coupang.com/vp/products/8899002151?itemId=25984595232&amp;vendorItemId=92967046664" xr:uid="{671AC1F8-9822-4FFF-A6F5-FC1158DF84A7}"/>
    <hyperlink ref="B30" r:id="rId3" display="https://www.coupang.com/vp/products/7685542307?itemId=19025582401&amp;vendorItemId=86149803397" xr:uid="{AE84D4BF-8FA3-4B99-85DE-5D69AE3F3E8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이형주</dc:creator>
  <cp:lastModifiedBy>형주 이</cp:lastModifiedBy>
  <dcterms:created xsi:type="dcterms:W3CDTF">2026-03-17T04:43:28Z</dcterms:created>
  <dcterms:modified xsi:type="dcterms:W3CDTF">2026-04-11T17:01:01Z</dcterms:modified>
</cp:coreProperties>
</file>