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gaming\"/>
    </mc:Choice>
  </mc:AlternateContent>
  <xr:revisionPtr revIDLastSave="0" documentId="13_ncr:1_{58F480BC-CF81-4554-A06B-06083C458BF7}" xr6:coauthVersionLast="47" xr6:coauthVersionMax="47" xr10:uidLastSave="{00000000-0000-0000-0000-000000000000}"/>
  <bookViews>
    <workbookView xWindow="-120" yWindow="-120" windowWidth="29040" windowHeight="1572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5" l="1"/>
  <c r="N54" i="5"/>
  <c r="N55" i="5"/>
  <c r="N56" i="5"/>
  <c r="M56" i="5"/>
  <c r="M57" i="5"/>
  <c r="M58" i="5"/>
  <c r="M59" i="5"/>
  <c r="M53" i="5"/>
  <c r="M54" i="5"/>
  <c r="M55" i="5"/>
  <c r="S54" i="5" a="1"/>
  <c r="S54" i="5" s="1"/>
  <c r="S53" i="5" a="1"/>
  <c r="S53" i="5" s="1"/>
  <c r="M36" i="5"/>
  <c r="M2" i="5"/>
  <c r="S38" i="5" a="1"/>
  <c r="S38" i="5" s="1"/>
  <c r="S52" i="5" a="1"/>
  <c r="S52" i="5" s="1"/>
  <c r="S51" i="5" a="1"/>
  <c r="S51" i="5" s="1"/>
  <c r="S50" i="5" a="1"/>
  <c r="S50" i="5" s="1"/>
  <c r="S47" i="5" a="1"/>
  <c r="S47" i="5" s="1"/>
  <c r="S46" i="5" a="1"/>
  <c r="S46" i="5" s="1"/>
  <c r="S30" i="5" a="1"/>
  <c r="S30" i="5" s="1"/>
  <c r="S5" i="5" a="1"/>
  <c r="S5" i="5" s="1"/>
  <c r="S8" i="5" a="1"/>
  <c r="S8" i="5" s="1"/>
  <c r="S7" i="5" a="1"/>
  <c r="S7" i="5" s="1"/>
  <c r="S4" i="5" a="1"/>
  <c r="S4" i="5" s="1"/>
  <c r="S19" i="5" a="1"/>
  <c r="S19" i="5" s="1"/>
  <c r="S18" i="5" a="1"/>
  <c r="S18" i="5" s="1"/>
  <c r="S17" i="5" a="1"/>
  <c r="S17" i="5" s="1"/>
  <c r="S31" i="5" a="1"/>
  <c r="S31" i="5" s="1"/>
  <c r="S16" i="5" a="1"/>
  <c r="S16" i="5" s="1"/>
  <c r="S15" i="5" a="1"/>
  <c r="S15" i="5" s="1"/>
  <c r="S24" i="5" a="1"/>
  <c r="S24" i="5" s="1"/>
  <c r="S13" i="5" a="1"/>
  <c r="S13" i="5" s="1"/>
  <c r="S45" i="5" a="1"/>
  <c r="S45" i="5" s="1"/>
  <c r="S43" i="5" a="1"/>
  <c r="S43" i="5" s="1"/>
  <c r="S35" i="5" a="1"/>
  <c r="S35" i="5" s="1"/>
  <c r="S42" i="5" a="1"/>
  <c r="S42" i="5" s="1"/>
  <c r="S41" i="5" a="1"/>
  <c r="S41" i="5" s="1"/>
  <c r="S22" i="5" a="1"/>
  <c r="S22" i="5" s="1"/>
  <c r="S23" i="5" a="1"/>
  <c r="S23" i="5" s="1"/>
  <c r="S11" i="5" a="1"/>
  <c r="S11" i="5" s="1"/>
  <c r="S39" i="5" a="1"/>
  <c r="S39" i="5" s="1"/>
  <c r="S40" i="5" a="1"/>
  <c r="S40" i="5" s="1"/>
  <c r="S44" i="5" a="1"/>
  <c r="S44" i="5" s="1"/>
  <c r="S12" i="5" a="1"/>
  <c r="S12" i="5" s="1"/>
  <c r="S14" i="5" a="1"/>
  <c r="S14" i="5" s="1"/>
  <c r="S34" i="5" a="1"/>
  <c r="S34" i="5" s="1"/>
  <c r="S3" i="5" a="1"/>
  <c r="S3" i="5" s="1"/>
  <c r="S6" i="5" a="1"/>
  <c r="S6" i="5" s="1"/>
  <c r="S25" i="5" a="1"/>
  <c r="S25" i="5" s="1"/>
  <c r="S32" i="5" a="1"/>
  <c r="S32" i="5" s="1"/>
  <c r="S36" i="5" a="1"/>
  <c r="S36" i="5" s="1"/>
  <c r="S2" i="5" a="1"/>
  <c r="S2" i="5" s="1"/>
  <c r="S27" i="5" a="1"/>
  <c r="S27" i="5" s="1"/>
  <c r="S29" i="5" a="1"/>
  <c r="S29" i="5" s="1"/>
  <c r="S48" i="5" a="1"/>
  <c r="S48" i="5" s="1"/>
  <c r="S49" i="5" a="1"/>
  <c r="S49" i="5" s="1"/>
  <c r="S33" i="5" a="1"/>
  <c r="S33" i="5" s="1"/>
  <c r="S37" i="5" a="1"/>
  <c r="S37" i="5" s="1"/>
  <c r="S9" i="5" a="1"/>
  <c r="S9" i="5" s="1"/>
  <c r="S21" i="5" a="1"/>
  <c r="S21" i="5" s="1"/>
  <c r="N22" i="5"/>
  <c r="N23" i="5"/>
  <c r="N11" i="5"/>
  <c r="N39" i="5"/>
  <c r="N40" i="5"/>
  <c r="N41" i="5"/>
  <c r="N42" i="5"/>
  <c r="N43" i="5"/>
  <c r="N44" i="5"/>
  <c r="N45" i="5"/>
  <c r="N12" i="5"/>
  <c r="N13" i="5"/>
  <c r="N24" i="5"/>
  <c r="N14" i="5"/>
  <c r="N15" i="5"/>
  <c r="N16" i="5"/>
  <c r="N31" i="5"/>
  <c r="N17" i="5"/>
  <c r="N18" i="5"/>
  <c r="N19" i="5"/>
  <c r="N4" i="5"/>
  <c r="N7" i="5"/>
  <c r="N8" i="5"/>
  <c r="N34" i="5"/>
  <c r="N35" i="5"/>
  <c r="N3" i="5"/>
  <c r="N5" i="5"/>
  <c r="N6" i="5"/>
  <c r="N25" i="5"/>
  <c r="N32" i="5"/>
  <c r="N36" i="5"/>
  <c r="N26" i="5"/>
  <c r="N2" i="5"/>
  <c r="N27" i="5"/>
  <c r="N29" i="5"/>
  <c r="N30" i="5"/>
  <c r="N46" i="5"/>
  <c r="N47" i="5"/>
  <c r="N10" i="5"/>
  <c r="N20" i="5"/>
  <c r="N28" i="5"/>
  <c r="N48" i="5"/>
  <c r="N50" i="5"/>
  <c r="N49" i="5"/>
  <c r="N51" i="5"/>
  <c r="N52" i="5"/>
  <c r="N33" i="5"/>
  <c r="N37" i="5"/>
  <c r="N38" i="5"/>
  <c r="N9" i="5"/>
  <c r="N21" i="5"/>
  <c r="M22" i="5"/>
  <c r="M23" i="5"/>
  <c r="M11" i="5"/>
  <c r="M39" i="5"/>
  <c r="M40" i="5"/>
  <c r="M41" i="5"/>
  <c r="M42" i="5"/>
  <c r="M43" i="5"/>
  <c r="M44" i="5"/>
  <c r="M45" i="5"/>
  <c r="M12" i="5"/>
  <c r="M13" i="5"/>
  <c r="M24" i="5"/>
  <c r="M14" i="5"/>
  <c r="M15" i="5"/>
  <c r="M16" i="5"/>
  <c r="M31" i="5"/>
  <c r="M17" i="5"/>
  <c r="M18" i="5"/>
  <c r="M19" i="5"/>
  <c r="M4" i="5"/>
  <c r="M7" i="5"/>
  <c r="M8" i="5"/>
  <c r="M34" i="5"/>
  <c r="M35" i="5"/>
  <c r="M3" i="5"/>
  <c r="M5" i="5"/>
  <c r="M6" i="5"/>
  <c r="M25" i="5"/>
  <c r="M32" i="5"/>
  <c r="M26" i="5"/>
  <c r="M27" i="5"/>
  <c r="M29" i="5"/>
  <c r="M30" i="5"/>
  <c r="M46" i="5"/>
  <c r="M47" i="5"/>
  <c r="M10" i="5"/>
  <c r="M20" i="5"/>
  <c r="M28" i="5"/>
  <c r="M48" i="5"/>
  <c r="M50" i="5"/>
  <c r="M49" i="5"/>
  <c r="M51" i="5"/>
  <c r="M52" i="5"/>
  <c r="M33" i="5"/>
  <c r="M37" i="5"/>
  <c r="M38" i="5"/>
  <c r="M9" i="5"/>
  <c r="M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<sst xmlns="http://schemas.openxmlformats.org/spreadsheetml/2006/main" count="327" uniqueCount="156">
  <si>
    <t>id</t>
  </si>
  <si>
    <t>link</t>
  </si>
  <si>
    <t>brand</t>
  </si>
  <si>
    <t>name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</si>
  <si>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</si>
  <si>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</si>
  <si>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</si>
  <si>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</si>
  <si>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</si>
  <si>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</si>
  <si>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</si>
  <si>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</si>
  <si>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</si>
  <si>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</si>
  <si>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market</t>
  </si>
  <si>
    <t>lasust_update</t>
  </si>
  <si>
    <t>쿠팡</t>
  </si>
  <si>
    <t>window</t>
    <phoneticPr fontId="18" type="noConversion"/>
  </si>
  <si>
    <t>https://www.coupang.com/vp/products/9018633339?itemId=26440741094&amp;vendorItemId=93416362417</t>
  </si>
  <si>
    <t>쿠팡</t>
    <phoneticPr fontId="18" type="noConversion"/>
  </si>
  <si>
    <t>LOQ 15AHP10, R7 250/5060</t>
  </si>
  <si>
    <t>gpu</t>
    <phoneticPr fontId="18" type="noConversion"/>
  </si>
  <si>
    <t>리전 5 15AHP10, R7 260/5060</t>
  </si>
  <si>
    <t>리전 5 15AKP10, R7 350/5070</t>
  </si>
  <si>
    <t>오멘 16, R7 350/5060</t>
  </si>
  <si>
    <t>https://www.coupang.com/vp/products/9277699361?itemId=27465445395&amp;vendorItemId=94430699317</t>
  </si>
  <si>
    <t>https://www.coupang.com/vp/products/8837462423?itemId=25754178542&amp;vendorItemId=92742426422</t>
  </si>
  <si>
    <t>오멘 16, R9 8940HX/5060</t>
  </si>
  <si>
    <t>TUF A14, R7 260/5060</t>
  </si>
  <si>
    <t>TUF A14, R7 350/5060</t>
  </si>
  <si>
    <t>https://www.coupang.com/vp/products/8952675716?itemId=26188751314&amp;vendorItemId=93168176760</t>
  </si>
  <si>
    <t>single</t>
    <phoneticPr fontId="18" type="noConversion"/>
  </si>
  <si>
    <t>1TB</t>
    <phoneticPr fontId="18" type="noConversion"/>
  </si>
  <si>
    <t>512GB</t>
    <phoneticPr fontId="18" type="noConversion"/>
  </si>
  <si>
    <t>https://www.coupang.com/vp/products/8774172630?itemId=25524523223&amp;vendorItemId=92516319080</t>
  </si>
  <si>
    <t>TUF A16, R7 260/5060</t>
  </si>
  <si>
    <t>https://www.coupang.com/vp/products/8783926143?itemId=25559511189&amp;vendorItemId=92550827920</t>
  </si>
  <si>
    <t>https://www.coupang.com/vp/products/8853447738?itemId=25811877071&amp;vendorItemId=92799026566</t>
  </si>
  <si>
    <t>TUF A16, R7 260/5050</t>
  </si>
  <si>
    <t>https://www.coupang.com/vp/products/8775686288?itemId=25530075131&amp;vendorItemId=92521813430</t>
  </si>
  <si>
    <t>https://www.coupang.com/vp/products/8835024384?itemId=25745774086&amp;vendorItemId=92734130287</t>
  </si>
  <si>
    <t>https://www.coupang.com/vp/products/8982779083?itemId=26301942628&amp;vendorItemId=93279668232</t>
  </si>
  <si>
    <t>TUF A16, R9 8940HX/5070 WQXGA</t>
  </si>
  <si>
    <t>https://www.coupang.com/vp/products/9167902430?itemId=27014590927&amp;vendorItemId=93983227395</t>
  </si>
  <si>
    <t>https://www.coupang.com/vp/products/8899002146?itemId=25984595201&amp;vendorItemId=92967046632</t>
  </si>
  <si>
    <t>https://www.coupang.com/vp/products/8773992950?itemId=25523735423&amp;vendorItemId=92515547957</t>
  </si>
  <si>
    <t>https://www.coupang.com/vp/products/9205272622?itemId=27183962156&amp;vendorItemId=94151511891</t>
  </si>
  <si>
    <t>https://www.coupang.com/vp/products/9074269633?itemId=26652309626&amp;vendorItemId=93624824750</t>
  </si>
  <si>
    <t>https://www.coupang.com/vp/products/8904297554?itemId=26003982478&amp;vendorItemId=92986077906</t>
  </si>
  <si>
    <t>니트로 V 16 슬림, R7 260/5060</t>
  </si>
  <si>
    <t>https://www.coupang.com/vp/products/8971714769?itemId=26258100341&amp;vendorItemId=93236465468</t>
  </si>
  <si>
    <t>https://www.coupang.com/vp/products/8880588148?itemId=25917512831&amp;vendorItemId=92903064695</t>
  </si>
  <si>
    <t>https://www.coupang.com/vp/products/9234391064?itemId=27300437532&amp;vendorItemId=94266985637</t>
  </si>
  <si>
    <t>https://www.coupang.com/vp/products/9200481145?itemId=27164469297&amp;vendorItemId=94132178204</t>
  </si>
  <si>
    <t>https://www.coupang.com/vp/products/8733078928?itemId=25376712122&amp;vendorItemId=92370774835</t>
  </si>
  <si>
    <t>https://www.coupang.com/vp/products/8733078928?itemId=25777643455&amp;vendorItemId=92765623467</t>
  </si>
  <si>
    <t>win11</t>
    <phoneticPr fontId="18" type="noConversion"/>
  </si>
  <si>
    <t>https://www.coupang.com/vp/products/8873266044?itemId=25890522816&amp;vendorItemId=92876445013</t>
  </si>
  <si>
    <t>https://www.coupang.com/vp/products/8836980191?itemId=25752060438&amp;vendorItemId=92740350838</t>
  </si>
  <si>
    <t>https://www.coupang.com/vp/products/8935925393?itemId=25890522454&amp;vendorItemId=92876444744</t>
  </si>
  <si>
    <t>https://www.coupang.com/vp/products/8760962623?itemId=25474920787&amp;vendorItemId=92467342021</t>
  </si>
  <si>
    <t>https://www.coupang.com/vp/products/8792486494?itemId=25592949982&amp;vendorItemId=92583699379</t>
  </si>
  <si>
    <t>https://www.coupang.com/vp/products/8790276970?itemId=25584164030&amp;vendorItemId=92575058855</t>
  </si>
  <si>
    <t>오멘 맥스 16, R9 375HX/5060</t>
  </si>
  <si>
    <t>오멘 맥스 16, U9 275HX/5070</t>
  </si>
  <si>
    <t>오멘 맥스 16, R7 350/5070 Ti</t>
  </si>
  <si>
    <t>오멘 맥스 16, U9 275HX/5070 Ti</t>
  </si>
  <si>
    <t>https://www.coupang.com/vp/products/8966522013?itemId=26241074138&amp;vendorItemId=93219739755</t>
  </si>
  <si>
    <t>https://www.coupang.com/vp/products/9325824364?itemId=27736313139&amp;vendorItemId=94697490099</t>
  </si>
  <si>
    <t>https://www.coupang.com/vp/products/8715362832?itemId=25312533063&amp;vendorItemId=92307623157</t>
  </si>
  <si>
    <t>https://www.coupang.com/vp/products/8771764425?itemId=25515886631&amp;vendorItemId=92507808343</t>
  </si>
  <si>
    <t>https://www.coupang.com/vp/products/8941557079?itemId=26148695560&amp;vendorItemId=93128696273</t>
  </si>
  <si>
    <t>오멘 17, R7 350/5060</t>
  </si>
  <si>
    <t>ROG 스트릭스 G16, U9 275HX/5080</t>
  </si>
  <si>
    <t>오멘 맥스 16, R9 375HX/5080</t>
  </si>
  <si>
    <t>레이더 A18, R9 9955HX/5080</t>
  </si>
  <si>
    <t>https://www.coupang.com/vp/products/8686463967?itemId=25217316659&amp;vendorItemId=92213738237</t>
  </si>
  <si>
    <t>TUF A16, R7 260/5060 WQXGA</t>
  </si>
  <si>
    <t>TUF F16, I7 14650HX/5060 WQXGA</t>
  </si>
  <si>
    <t>TUF F16, I7 14650HX/5070 WQXGA</t>
  </si>
  <si>
    <t>TUF F16, I5 14450HX/5050</t>
  </si>
  <si>
    <t>TUF A18, R7 260/5050</t>
  </si>
  <si>
    <t>TUF A18, R7 260/5060</t>
  </si>
  <si>
    <t>TUF A18, R7 260/5070</t>
  </si>
  <si>
    <t>니트로 16 슬림, R7 350/5070</t>
  </si>
  <si>
    <t>헬리오스 네오 16 슬림, U9 275HX/5060</t>
  </si>
  <si>
    <t>헬리오스 네오 16, U9 275HX/5070</t>
  </si>
  <si>
    <t>니트로 18, R7 350/5060</t>
  </si>
  <si>
    <t>니트로 18, R7 350/5070</t>
  </si>
  <si>
    <t>빅터스 16, I5 13500HX/4060</t>
  </si>
  <si>
    <t>빅터스 16, I5 14450HX/4060</t>
  </si>
  <si>
    <t>소드 GF76 17.3, I7 14650HX/5060</t>
  </si>
  <si>
    <t>리전 7 16IAX10, U9 275HX/5070</t>
  </si>
  <si>
    <t>ROG 스트릭스 G18, U9 275HX/5070</t>
  </si>
  <si>
    <t>오멘 15, I5 14450HX/5060</t>
  </si>
  <si>
    <t>벡터 16, U7 275HX/5080</t>
  </si>
  <si>
    <t>헬리오스 네오 16, U9 275HX/5070 Ti</t>
  </si>
  <si>
    <t>헬리오스 네오 18, U9 275HX/5070 Ti</t>
  </si>
  <si>
    <t>리전 프로 5 16IAX10, U9 275HX/5070 Ti</t>
  </si>
  <si>
    <t>ROG 스트릭스 G18, U9 275HX/5070 Ti</t>
  </si>
  <si>
    <t>벡터 16, U7 275HX/5070 Ti</t>
  </si>
  <si>
    <t>variant</t>
    <phoneticPr fontId="18" type="noConversion"/>
  </si>
  <si>
    <t>https://www.coupang.com/vp/products/8826112134?itemId=25719163101&amp;vendorItemId=92707939317</t>
  </si>
  <si>
    <t>https://www.coupang.com/vp/products/7685542307?itemId=19025582401&amp;vendorItemId=86149803397</t>
    <phoneticPr fontId="18" type="noConversion"/>
  </si>
  <si>
    <t>https://www.coupang.com/vp/products/8677554106?itemId=25190830588&amp;vendorItemId=92187575667</t>
    <phoneticPr fontId="18" type="noConversion"/>
  </si>
  <si>
    <t>https://www.coupang.com/vp/products/8825969244?itemId=25789822919&amp;vendorItemId=92777600085</t>
    <phoneticPr fontId="18" type="noConversion"/>
  </si>
  <si>
    <t>https://www.coupang.com/vp/products/8835398704?itemId=25746757768&amp;vendorItemId=92735093516</t>
    <phoneticPr fontId="18" type="noConversion"/>
  </si>
  <si>
    <t>https://www.coupang.com/vp/products/8711669095?itemId=26764774488&amp;vendorItemId=93735603813</t>
    <phoneticPr fontId="18" type="noConversion"/>
  </si>
  <si>
    <t>ASUS</t>
    <phoneticPr fontId="18" type="noConversion"/>
  </si>
  <si>
    <t>acer</t>
    <phoneticPr fontId="18" type="noConversion"/>
  </si>
  <si>
    <t>msi</t>
    <phoneticPr fontId="18" type="noConversion"/>
  </si>
  <si>
    <t>Lenovo</t>
    <phoneticPr fontId="18" type="noConversion"/>
  </si>
  <si>
    <t>HP</t>
    <phoneticPr fontId="18" type="noConversion"/>
  </si>
  <si>
    <t>리전 프로 7 16IAX10, U9 275HX/5080</t>
    <phoneticPr fontId="18" type="noConversion"/>
  </si>
  <si>
    <t>리전 프로 5 16IAX10, U9 275HX/5070</t>
    <phoneticPr fontId="18" type="noConversion"/>
  </si>
  <si>
    <t>쿠팡</t>
    <phoneticPr fontId="18" type="noConversion"/>
  </si>
  <si>
    <t>dual</t>
    <phoneticPr fontId="18" type="noConversion"/>
  </si>
  <si>
    <t>https://www.coupang.com/vp/products/8771136679?itemId=25513329531&amp;vendorItemId=92505305899</t>
    <phoneticPr fontId="18" type="noConversion"/>
  </si>
  <si>
    <t>https://www.coupang.com/vp/products/8826133206?itemId=25719248433&amp;vendorItemId=92708022379</t>
    <phoneticPr fontId="18" type="noConversion"/>
  </si>
  <si>
    <t>https://www.coupang.com/vp/products/8763580498?itemId=25484221675&amp;vendorItemId=92476480219</t>
    <phoneticPr fontId="18" type="noConversion"/>
  </si>
  <si>
    <t>https://www.coupang.com/vp/products/8758944787?itemId=25467752802&amp;vendorItemId=92460264359</t>
    <phoneticPr fontId="18" type="noConversion"/>
  </si>
  <si>
    <t>https://www.coupang.com/vp/products/8771223830?itemId=25513732236&amp;vendorItemId=92505701532</t>
    <phoneticPr fontId="18" type="noConversion"/>
  </si>
  <si>
    <t>portability</t>
  </si>
  <si>
    <t>display</t>
    <phoneticPr fontId="18" type="noConversion"/>
  </si>
  <si>
    <t>cpu_style</t>
    <phoneticPr fontId="18" type="noConversion"/>
  </si>
  <si>
    <t>single</t>
    <phoneticPr fontId="18" type="noConversion"/>
  </si>
  <si>
    <t>ROG 스트릭스 G16, R9 9955HX3D/5070 Ti</t>
    <phoneticPr fontId="18" type="noConversion"/>
  </si>
  <si>
    <t>single</t>
    <phoneticPr fontId="18" type="noConversion"/>
  </si>
  <si>
    <t>https://www.coupang.com/vp/products/8721382195?itemId=25333537099&amp;vendorItemId=92328320231</t>
    <phoneticPr fontId="18" type="noConversion"/>
  </si>
  <si>
    <t>dual</t>
    <phoneticPr fontId="18" type="noConversion"/>
  </si>
  <si>
    <t>https://www.coupang.com/vp/products/8852815391?itemId=25809161282&amp;vendorItemId=92796439383</t>
    <phoneticPr fontId="18" type="noConversion"/>
  </si>
  <si>
    <t>onboard</t>
    <phoneticPr fontId="18" type="noConversion"/>
  </si>
  <si>
    <t>https://www.coupang.com/vp/products/8899002151?itemId=25984595232&amp;vendorItemId=92967046664</t>
    <phoneticPr fontId="18" type="noConversion"/>
  </si>
  <si>
    <t>weight</t>
    <phoneticPr fontId="18" type="noConversion"/>
  </si>
  <si>
    <t>battery</t>
    <phoneticPr fontId="18" type="noConversion"/>
  </si>
  <si>
    <t>리전 프로 7 16IAX10, U9 275HX/5070 Ti</t>
    <phoneticPr fontId="18" type="noConversion"/>
  </si>
  <si>
    <t>오멘 맥스 16, U7 255HX/5060 OLED</t>
    <phoneticPr fontId="18" type="noConversion"/>
  </si>
  <si>
    <t>오멘 16, U7 255H/5060</t>
    <phoneticPr fontId="18" type="noConversion"/>
  </si>
  <si>
    <t>https://www.coupang.com/vp/products/9007205840?itemId=27375892821&amp;vendorItemId=94341787823</t>
  </si>
  <si>
    <t>LG</t>
    <phoneticPr fontId="18" type="noConversion"/>
  </si>
  <si>
    <t>https://www.coupang.com/vp/products/9254540096?itemId=27375892823&amp;vendorItemId=94341787824</t>
  </si>
  <si>
    <t>lg</t>
    <phoneticPr fontId="18" type="noConversion"/>
  </si>
  <si>
    <t>화이트</t>
    <phoneticPr fontId="18" type="noConversion"/>
  </si>
  <si>
    <t>https://www.coupang.com/vp/products/9395836180?itemId=27904531391&amp;vendorItemId=94863309099</t>
  </si>
  <si>
    <t>블랙</t>
    <phoneticPr fontId="18" type="noConversion"/>
  </si>
  <si>
    <t>gigabyte</t>
    <phoneticPr fontId="18" type="noConversion"/>
  </si>
  <si>
    <t>에어로 X16, R7 350/5060</t>
    <phoneticPr fontId="18" type="noConversion"/>
  </si>
  <si>
    <t>그램프로 16, U5 225H/5050</t>
    <phoneticPr fontId="18" type="noConversion"/>
  </si>
  <si>
    <t>그램프로 17, U5 225H/5050</t>
    <phoneticPr fontId="18" type="noConversion"/>
  </si>
  <si>
    <t>https://www.coupang.com/vp/products/8938802218?itemId=26137504736&amp;vendorItemId=93117664782</t>
  </si>
  <si>
    <t>16GB 램</t>
    <phoneticPr fontId="18" type="noConversion"/>
  </si>
  <si>
    <t>32GB 램</t>
    <phoneticPr fontId="18" type="noConversion"/>
  </si>
  <si>
    <t>on_crawl</t>
    <phoneticPr fontId="18" type="noConversion"/>
  </si>
  <si>
    <t>프리도스</t>
    <phoneticPr fontId="18" type="noConversion"/>
  </si>
  <si>
    <t>is_active</t>
    <phoneticPr fontId="18" type="noConversion"/>
  </si>
  <si>
    <t>https://www.coupang.com/vp/products/8882397835?itemId=25923808163&amp;vendorItemId=92909249701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</si>
</sst>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7685542307?itemId=19025582401&amp;vendorItemId=86149803397" TargetMode="External"/><Relationship Id="rId2" Type="http://schemas.openxmlformats.org/officeDocument/2006/relationships/hyperlink" Target="https://www.coupang.com/vp/products/8899002151?itemId=25984595232&amp;vendorItemId=92967046664" TargetMode="External"/><Relationship Id="rId1" Type="http://schemas.openxmlformats.org/officeDocument/2006/relationships/hyperlink" Target="https://www.coupang.com/vp/products/8852815391?itemId=25809161282&amp;vendorItemId=9279643938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AA78"/>
  <sheetViews>
    <sheetView tabSelected="1" zoomScale="70" zoomScaleNormal="70" workbookViewId="0">
      <pane ySplit="1" topLeftCell="A26" activePane="bottomLeft" state="frozen"/>
      <selection activeCell="D1" sqref="D1"/>
      <selection pane="bottomLeft" activeCell="J49" sqref="J49"/>
    </sheetView>
  </sheetViews>
  <sheetFormatPr defaultRowHeight="16.5" x14ac:dyDescent="0.3"/>
  <cols>
    <col min="2" max="2" width="21" customWidth="1"/>
    <col min="4" max="4" width="40.875" bestFit="1" customWidth="1"/>
    <col min="6" max="7" width="9.125" customWidth="1"/>
    <col min="8" max="9" width="10.625" customWidth="1"/>
    <col min="10" max="10" width="14.125" customWidth="1"/>
    <col min="11" max="11" width="12.125" customWidth="1"/>
    <col min="12" max="12" width="12.5" customWidth="1"/>
    <col min="13" max="13" width="18.375" customWidth="1"/>
    <col min="14" max="14" width="9.125" customWidth="1"/>
    <col min="18" max="19" width="9.125" customWidth="1"/>
    <col min="22" max="22" width="9.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101</v>
      </c>
      <c r="G1" t="s">
        <v>5</v>
      </c>
      <c r="H1" t="s">
        <v>152</v>
      </c>
      <c r="I1" t="s">
        <v>154</v>
      </c>
      <c r="J1" t="s">
        <v>6</v>
      </c>
      <c r="K1" t="s">
        <v>7</v>
      </c>
      <c r="L1" t="s">
        <v>8</v>
      </c>
      <c r="M1" t="s">
        <v>9</v>
      </c>
      <c r="N1" t="s">
        <v>21</v>
      </c>
      <c r="O1" t="s">
        <v>10</v>
      </c>
      <c r="P1" t="s">
        <v>11</v>
      </c>
      <c r="Q1" t="s">
        <v>12</v>
      </c>
      <c r="R1" t="s">
        <v>17</v>
      </c>
      <c r="S1" t="s">
        <v>13</v>
      </c>
      <c r="T1" t="s">
        <v>122</v>
      </c>
      <c r="U1" t="s">
        <v>123</v>
      </c>
      <c r="V1" t="s">
        <v>124</v>
      </c>
      <c r="W1" t="s">
        <v>133</v>
      </c>
      <c r="X1" t="s">
        <v>134</v>
      </c>
      <c r="Z1" t="s">
        <v>14</v>
      </c>
      <c r="AA1" t="s">
        <v>15</v>
      </c>
    </row>
    <row r="2" spans="1:27" x14ac:dyDescent="0.3">
      <c r="B2" t="s">
        <v>67</v>
      </c>
      <c r="C2" t="s">
        <v>112</v>
      </c>
      <c r="D2" t="s">
        <v>136</v>
      </c>
      <c r="H2">
        <v>1</v>
      </c>
      <c r="I2">
        <v>1</v>
      </c>
      <c r="M2" t="str">
        <f t="shared" ref="M2:M33" si="0">TRIM(MID(D2, FIND(",", D2)+1, FIND("/", D2)-FIND(",", D2)-1))</f>
        <v>U7 255HX</v>
      </c>
      <c r="N2" t="str">
        <f t="shared" ref="N2:N33" si="1">_xlfn.LET(
    _xlpm.txt, TRIM(MID(D2, FIND("/", D2)+1, LEN(D2))),
    IFERROR(LEFT(_xlpm.txt, FIND("Ti", _xlpm.txt)+1), LEFT(_xlpm.txt, FIND(" ", _xlpm.txt&amp;" ")-1))
)</f>
        <v>5060</v>
      </c>
      <c r="O2">
        <v>32</v>
      </c>
      <c r="P2" t="s">
        <v>129</v>
      </c>
      <c r="Q2">
        <v>1024</v>
      </c>
      <c r="R2">
        <v>1</v>
      </c>
      <c r="S2" t="str" cm="1">
        <f t="array" ref="S2">IFERROR(
    LOOKUP(2^15, SEARCH({"16","18","14"}, D2), {"16","18","14"}),
    ""
)</f>
        <v>16</v>
      </c>
      <c r="T2">
        <v>2</v>
      </c>
      <c r="U2">
        <v>9</v>
      </c>
      <c r="V2">
        <v>1</v>
      </c>
      <c r="Z2" t="s">
        <v>19</v>
      </c>
    </row>
    <row r="3" spans="1:27" x14ac:dyDescent="0.3">
      <c r="B3" s="2" t="s">
        <v>103</v>
      </c>
      <c r="C3" t="s">
        <v>112</v>
      </c>
      <c r="D3" t="s">
        <v>89</v>
      </c>
      <c r="H3">
        <v>1</v>
      </c>
      <c r="I3">
        <v>1</v>
      </c>
      <c r="M3" t="str">
        <f t="shared" si="0"/>
        <v>I5 13500HX</v>
      </c>
      <c r="N3" t="str">
        <f t="shared" si="1"/>
        <v>4060</v>
      </c>
      <c r="O3">
        <v>16</v>
      </c>
      <c r="P3" t="s">
        <v>129</v>
      </c>
      <c r="Q3">
        <v>512</v>
      </c>
      <c r="R3">
        <v>0</v>
      </c>
      <c r="S3" t="str" cm="1">
        <f t="array" ref="S3">IFERROR(
    LOOKUP(2^15, SEARCH({"16","18","14"}, D3), {"16","18","14"}),
    ""
)</f>
        <v>16</v>
      </c>
      <c r="T3">
        <v>3</v>
      </c>
      <c r="U3">
        <v>4</v>
      </c>
      <c r="V3">
        <v>1</v>
      </c>
      <c r="Z3" t="s">
        <v>19</v>
      </c>
    </row>
    <row r="4" spans="1:27" x14ac:dyDescent="0.3">
      <c r="B4" t="s">
        <v>43</v>
      </c>
      <c r="C4" t="s">
        <v>108</v>
      </c>
      <c r="D4" t="s">
        <v>80</v>
      </c>
      <c r="H4">
        <v>1</v>
      </c>
      <c r="I4">
        <v>1</v>
      </c>
      <c r="M4" t="str">
        <f t="shared" si="0"/>
        <v>I5 14450HX</v>
      </c>
      <c r="N4" t="str">
        <f t="shared" si="1"/>
        <v>5050</v>
      </c>
      <c r="O4">
        <v>16</v>
      </c>
      <c r="P4" t="s">
        <v>127</v>
      </c>
      <c r="Q4">
        <v>512</v>
      </c>
      <c r="R4">
        <v>0</v>
      </c>
      <c r="S4" t="str" cm="1">
        <f t="array" ref="S4">IFERROR(
    LOOKUP(2^15, SEARCH({"16","18","14"}, D4), {"16","18","14"}),
    ""
)</f>
        <v>14</v>
      </c>
      <c r="T4">
        <v>5</v>
      </c>
      <c r="U4">
        <v>4</v>
      </c>
      <c r="V4">
        <v>1</v>
      </c>
      <c r="Z4" t="s">
        <v>19</v>
      </c>
    </row>
    <row r="5" spans="1:27" x14ac:dyDescent="0.3">
      <c r="B5" t="s">
        <v>104</v>
      </c>
      <c r="C5" t="s">
        <v>112</v>
      </c>
      <c r="D5" t="s">
        <v>90</v>
      </c>
      <c r="H5">
        <v>1</v>
      </c>
      <c r="I5">
        <v>1</v>
      </c>
      <c r="M5" t="str">
        <f t="shared" si="0"/>
        <v>I5 14450HX</v>
      </c>
      <c r="N5" t="str">
        <f t="shared" si="1"/>
        <v>4060</v>
      </c>
      <c r="O5">
        <v>16</v>
      </c>
      <c r="P5" t="s">
        <v>129</v>
      </c>
      <c r="Q5">
        <v>512</v>
      </c>
      <c r="R5">
        <v>0</v>
      </c>
      <c r="S5" t="str" cm="1">
        <f t="array" ref="S5">IFERROR(
    LOOKUP(2^15, SEARCH({"16","18","14"}, D5), {"16","18","14"}),
    ""
)</f>
        <v>14</v>
      </c>
      <c r="T5">
        <v>3</v>
      </c>
      <c r="U5">
        <v>4</v>
      </c>
      <c r="V5">
        <v>1</v>
      </c>
      <c r="Z5" t="s">
        <v>19</v>
      </c>
    </row>
    <row r="6" spans="1:27" x14ac:dyDescent="0.3">
      <c r="B6" t="s">
        <v>68</v>
      </c>
      <c r="C6" t="s">
        <v>112</v>
      </c>
      <c r="D6" t="s">
        <v>94</v>
      </c>
      <c r="H6">
        <v>1</v>
      </c>
      <c r="I6">
        <v>1</v>
      </c>
      <c r="M6" t="str">
        <f t="shared" si="0"/>
        <v>I5 14450HX</v>
      </c>
      <c r="N6" t="str">
        <f t="shared" si="1"/>
        <v>5060</v>
      </c>
      <c r="O6">
        <v>24</v>
      </c>
      <c r="P6" t="s">
        <v>127</v>
      </c>
      <c r="Q6">
        <v>1024</v>
      </c>
      <c r="R6">
        <v>0</v>
      </c>
      <c r="S6" t="str" cm="1">
        <f t="array" ref="S6">IFERROR(
    LOOKUP(2^15, SEARCH({"16","18","14"}, D6), {"16","18","14"}),
    ""
)</f>
        <v>14</v>
      </c>
      <c r="T6">
        <v>4</v>
      </c>
      <c r="U6">
        <v>6</v>
      </c>
      <c r="V6">
        <v>1</v>
      </c>
      <c r="Z6" t="s">
        <v>19</v>
      </c>
    </row>
    <row r="7" spans="1:27" x14ac:dyDescent="0.3">
      <c r="B7" t="s">
        <v>40</v>
      </c>
      <c r="C7" t="s">
        <v>108</v>
      </c>
      <c r="D7" t="s">
        <v>78</v>
      </c>
      <c r="H7">
        <v>1</v>
      </c>
      <c r="I7">
        <v>1</v>
      </c>
      <c r="M7" t="str">
        <f t="shared" si="0"/>
        <v>I7 14650HX</v>
      </c>
      <c r="N7" t="str">
        <f t="shared" si="1"/>
        <v>5060</v>
      </c>
      <c r="O7">
        <v>16</v>
      </c>
      <c r="P7" t="s">
        <v>127</v>
      </c>
      <c r="Q7">
        <v>512</v>
      </c>
      <c r="R7">
        <v>0</v>
      </c>
      <c r="S7" t="str" cm="1">
        <f t="array" ref="S7">IFERROR(
    LOOKUP(2^15, SEARCH({"16","18","14"}, D7), {"16","18","14"}),
    ""
)</f>
        <v>14</v>
      </c>
      <c r="T7">
        <v>5</v>
      </c>
      <c r="U7">
        <v>6</v>
      </c>
      <c r="V7">
        <v>1</v>
      </c>
      <c r="Z7" t="s">
        <v>19</v>
      </c>
    </row>
    <row r="8" spans="1:27" x14ac:dyDescent="0.3">
      <c r="B8" t="s">
        <v>41</v>
      </c>
      <c r="C8" t="s">
        <v>108</v>
      </c>
      <c r="D8" t="s">
        <v>79</v>
      </c>
      <c r="H8">
        <v>1</v>
      </c>
      <c r="I8">
        <v>1</v>
      </c>
      <c r="M8" t="str">
        <f t="shared" si="0"/>
        <v>I7 14650HX</v>
      </c>
      <c r="N8" t="str">
        <f t="shared" si="1"/>
        <v>5070</v>
      </c>
      <c r="O8">
        <v>16</v>
      </c>
      <c r="P8" t="s">
        <v>127</v>
      </c>
      <c r="Q8">
        <v>512</v>
      </c>
      <c r="R8">
        <v>0</v>
      </c>
      <c r="S8" t="str" cm="1">
        <f t="array" ref="S8">IFERROR(
    LOOKUP(2^15, SEARCH({"16","18","14"}, D8), {"16","18","14"}),
    ""
)</f>
        <v>14</v>
      </c>
      <c r="T8">
        <v>5</v>
      </c>
      <c r="U8">
        <v>6</v>
      </c>
      <c r="V8">
        <v>1</v>
      </c>
      <c r="Z8" t="s">
        <v>19</v>
      </c>
    </row>
    <row r="9" spans="1:27" x14ac:dyDescent="0.3">
      <c r="B9" t="s">
        <v>105</v>
      </c>
      <c r="C9" t="s">
        <v>110</v>
      </c>
      <c r="D9" t="s">
        <v>91</v>
      </c>
      <c r="H9">
        <v>1</v>
      </c>
      <c r="I9">
        <v>1</v>
      </c>
      <c r="M9" t="str">
        <f t="shared" si="0"/>
        <v>I7 14650HX</v>
      </c>
      <c r="N9" t="str">
        <f t="shared" si="1"/>
        <v>5060</v>
      </c>
      <c r="O9">
        <v>16</v>
      </c>
      <c r="P9" t="s">
        <v>129</v>
      </c>
      <c r="Q9">
        <v>512</v>
      </c>
      <c r="R9">
        <v>0</v>
      </c>
      <c r="S9" t="str" cm="1">
        <f t="array" ref="S9">IFERROR(
    LOOKUP(2^15, SEARCH({"16","18","14"}, D9), {"16","18","14"}),
    ""
)</f>
        <v>14</v>
      </c>
      <c r="T9">
        <v>1</v>
      </c>
      <c r="U9">
        <v>8</v>
      </c>
      <c r="V9">
        <v>1</v>
      </c>
      <c r="W9">
        <v>270</v>
      </c>
      <c r="X9">
        <v>75</v>
      </c>
      <c r="Z9" t="s">
        <v>19</v>
      </c>
    </row>
    <row r="10" spans="1:27" x14ac:dyDescent="0.3">
      <c r="B10" t="s">
        <v>18</v>
      </c>
      <c r="C10" t="s">
        <v>111</v>
      </c>
      <c r="D10" t="s">
        <v>20</v>
      </c>
      <c r="H10">
        <v>1</v>
      </c>
      <c r="I10">
        <v>1</v>
      </c>
      <c r="M10" t="str">
        <f t="shared" si="0"/>
        <v>R7 250</v>
      </c>
      <c r="N10" t="str">
        <f t="shared" si="1"/>
        <v>5060</v>
      </c>
      <c r="O10">
        <v>16</v>
      </c>
      <c r="P10" t="s">
        <v>31</v>
      </c>
      <c r="Q10">
        <v>512</v>
      </c>
      <c r="R10">
        <v>0</v>
      </c>
      <c r="S10">
        <v>15.6</v>
      </c>
      <c r="T10">
        <v>2</v>
      </c>
      <c r="U10">
        <v>3</v>
      </c>
      <c r="V10">
        <v>0</v>
      </c>
      <c r="Z10" t="s">
        <v>19</v>
      </c>
    </row>
    <row r="11" spans="1:27" x14ac:dyDescent="0.3">
      <c r="B11" t="s">
        <v>46</v>
      </c>
      <c r="C11" t="s">
        <v>109</v>
      </c>
      <c r="D11" t="s">
        <v>49</v>
      </c>
      <c r="H11">
        <v>1</v>
      </c>
      <c r="I11">
        <v>1</v>
      </c>
      <c r="M11" t="str">
        <f t="shared" si="0"/>
        <v>R7 260</v>
      </c>
      <c r="N11" t="str">
        <f t="shared" si="1"/>
        <v>5060</v>
      </c>
      <c r="O11">
        <v>16</v>
      </c>
      <c r="P11" t="s">
        <v>125</v>
      </c>
      <c r="Q11">
        <v>512</v>
      </c>
      <c r="R11">
        <v>0</v>
      </c>
      <c r="S11" t="str" cm="1">
        <f t="array" ref="S11">IFERROR(
    LOOKUP(2^15, SEARCH({"16","18","14"}, D11), {"16","18","14"}),
    ""
)</f>
        <v>16</v>
      </c>
      <c r="T11">
        <v>6</v>
      </c>
      <c r="U11">
        <v>7</v>
      </c>
      <c r="V11">
        <v>0</v>
      </c>
      <c r="Z11" t="s">
        <v>19</v>
      </c>
    </row>
    <row r="12" spans="1:27" x14ac:dyDescent="0.3">
      <c r="B12" s="1" t="s">
        <v>130</v>
      </c>
      <c r="C12" t="s">
        <v>108</v>
      </c>
      <c r="D12" t="s">
        <v>28</v>
      </c>
      <c r="E12" t="s">
        <v>33</v>
      </c>
      <c r="F12">
        <v>1</v>
      </c>
      <c r="H12">
        <v>1</v>
      </c>
      <c r="I12">
        <v>1</v>
      </c>
      <c r="M12" t="str">
        <f t="shared" si="0"/>
        <v>R7 260</v>
      </c>
      <c r="N12" t="str">
        <f t="shared" si="1"/>
        <v>5060</v>
      </c>
      <c r="O12">
        <v>32</v>
      </c>
      <c r="P12" t="s">
        <v>131</v>
      </c>
      <c r="Q12">
        <v>512</v>
      </c>
      <c r="R12">
        <v>0</v>
      </c>
      <c r="S12" t="str" cm="1">
        <f t="array" ref="S12">IFERROR(
    LOOKUP(2^15, SEARCH({"16","18","14"}, D12), {"16","18","14"}),
    ""
)</f>
        <v>14</v>
      </c>
      <c r="T12">
        <v>9</v>
      </c>
      <c r="U12">
        <v>6</v>
      </c>
      <c r="V12">
        <v>0</v>
      </c>
      <c r="Z12" t="s">
        <v>19</v>
      </c>
    </row>
    <row r="13" spans="1:27" x14ac:dyDescent="0.3">
      <c r="B13" t="s">
        <v>30</v>
      </c>
      <c r="C13" t="s">
        <v>108</v>
      </c>
      <c r="D13" t="s">
        <v>28</v>
      </c>
      <c r="E13" t="s">
        <v>32</v>
      </c>
      <c r="F13">
        <v>2</v>
      </c>
      <c r="H13">
        <v>1</v>
      </c>
      <c r="I13">
        <v>1</v>
      </c>
      <c r="M13" t="str">
        <f t="shared" si="0"/>
        <v>R7 260</v>
      </c>
      <c r="N13" t="str">
        <f t="shared" si="1"/>
        <v>5060</v>
      </c>
      <c r="O13">
        <v>32</v>
      </c>
      <c r="P13" t="s">
        <v>131</v>
      </c>
      <c r="Q13">
        <v>1024</v>
      </c>
      <c r="R13">
        <v>0</v>
      </c>
      <c r="S13" t="str" cm="1">
        <f t="array" ref="S13">IFERROR(
    LOOKUP(2^15, SEARCH({"16","18","14"}, D13), {"16","18","14"}),
    ""
)</f>
        <v>14</v>
      </c>
      <c r="T13">
        <v>9</v>
      </c>
      <c r="U13">
        <v>6</v>
      </c>
      <c r="V13">
        <v>0</v>
      </c>
      <c r="Z13" t="s">
        <v>19</v>
      </c>
    </row>
    <row r="14" spans="1:27" x14ac:dyDescent="0.3">
      <c r="B14" t="s">
        <v>37</v>
      </c>
      <c r="C14" t="s">
        <v>108</v>
      </c>
      <c r="D14" t="s">
        <v>38</v>
      </c>
      <c r="H14">
        <v>1</v>
      </c>
      <c r="I14">
        <v>1</v>
      </c>
      <c r="M14" t="str">
        <f t="shared" si="0"/>
        <v>R7 260</v>
      </c>
      <c r="N14" t="str">
        <f t="shared" si="1"/>
        <v>5050</v>
      </c>
      <c r="O14">
        <v>16</v>
      </c>
      <c r="P14" t="s">
        <v>127</v>
      </c>
      <c r="Q14">
        <v>512</v>
      </c>
      <c r="R14">
        <v>0</v>
      </c>
      <c r="S14" t="str" cm="1">
        <f t="array" ref="S14">IFERROR(
    LOOKUP(2^15, SEARCH({"16","18","14"}, D14), {"16","18","14"}),
    ""
)</f>
        <v>16</v>
      </c>
      <c r="T14">
        <v>6</v>
      </c>
      <c r="U14">
        <v>4</v>
      </c>
      <c r="V14">
        <v>0</v>
      </c>
      <c r="Z14" t="s">
        <v>19</v>
      </c>
    </row>
    <row r="15" spans="1:27" x14ac:dyDescent="0.3">
      <c r="B15" t="s">
        <v>34</v>
      </c>
      <c r="C15" t="s">
        <v>108</v>
      </c>
      <c r="D15" t="s">
        <v>35</v>
      </c>
      <c r="H15">
        <v>1</v>
      </c>
      <c r="I15">
        <v>1</v>
      </c>
      <c r="M15" t="str">
        <f t="shared" si="0"/>
        <v>R7 260</v>
      </c>
      <c r="N15" t="str">
        <f t="shared" si="1"/>
        <v>5060</v>
      </c>
      <c r="O15">
        <v>16</v>
      </c>
      <c r="P15" t="s">
        <v>127</v>
      </c>
      <c r="Q15">
        <v>512</v>
      </c>
      <c r="R15">
        <v>0</v>
      </c>
      <c r="S15" t="str" cm="1">
        <f t="array" ref="S15">IFERROR(
    LOOKUP(2^15, SEARCH({"16","18","14"}, D15), {"16","18","14"}),
    ""
)</f>
        <v>16</v>
      </c>
      <c r="T15">
        <v>6</v>
      </c>
      <c r="U15">
        <v>4</v>
      </c>
      <c r="V15">
        <v>0</v>
      </c>
      <c r="Z15" t="s">
        <v>19</v>
      </c>
    </row>
    <row r="16" spans="1:27" x14ac:dyDescent="0.3">
      <c r="B16" t="s">
        <v>36</v>
      </c>
      <c r="C16" t="s">
        <v>108</v>
      </c>
      <c r="D16" t="s">
        <v>77</v>
      </c>
      <c r="H16">
        <v>1</v>
      </c>
      <c r="I16">
        <v>1</v>
      </c>
      <c r="M16" t="str">
        <f t="shared" si="0"/>
        <v>R7 260</v>
      </c>
      <c r="N16" t="str">
        <f t="shared" si="1"/>
        <v>5060</v>
      </c>
      <c r="O16">
        <v>16</v>
      </c>
      <c r="P16" t="s">
        <v>127</v>
      </c>
      <c r="Q16">
        <v>512</v>
      </c>
      <c r="R16">
        <v>0</v>
      </c>
      <c r="S16" t="str" cm="1">
        <f t="array" ref="S16">IFERROR(
    LOOKUP(2^15, SEARCH({"16","18","14"}, D16), {"16","18","14"}),
    ""
)</f>
        <v>16</v>
      </c>
      <c r="T16">
        <v>6</v>
      </c>
      <c r="U16">
        <v>6</v>
      </c>
      <c r="V16">
        <v>0</v>
      </c>
      <c r="Z16" t="s">
        <v>19</v>
      </c>
    </row>
    <row r="17" spans="2:26" x14ac:dyDescent="0.3">
      <c r="B17" t="s">
        <v>44</v>
      </c>
      <c r="C17" t="s">
        <v>108</v>
      </c>
      <c r="D17" t="s">
        <v>81</v>
      </c>
      <c r="H17">
        <v>1</v>
      </c>
      <c r="I17">
        <v>1</v>
      </c>
      <c r="M17" t="str">
        <f t="shared" si="0"/>
        <v>R7 260</v>
      </c>
      <c r="N17" t="str">
        <f t="shared" si="1"/>
        <v>5050</v>
      </c>
      <c r="O17">
        <v>16</v>
      </c>
      <c r="P17" t="s">
        <v>127</v>
      </c>
      <c r="Q17">
        <v>512</v>
      </c>
      <c r="R17">
        <v>0</v>
      </c>
      <c r="S17" t="str" cm="1">
        <f t="array" ref="S17">IFERROR(
    LOOKUP(2^15, SEARCH({"16","18","14"}, D17), {"16","18","14"}),
    ""
)</f>
        <v>18</v>
      </c>
      <c r="T17">
        <v>1</v>
      </c>
      <c r="U17">
        <v>4</v>
      </c>
      <c r="V17">
        <v>0</v>
      </c>
      <c r="Z17" t="s">
        <v>19</v>
      </c>
    </row>
    <row r="18" spans="2:26" x14ac:dyDescent="0.3">
      <c r="B18" t="s">
        <v>45</v>
      </c>
      <c r="C18" t="s">
        <v>108</v>
      </c>
      <c r="D18" t="s">
        <v>82</v>
      </c>
      <c r="H18">
        <v>1</v>
      </c>
      <c r="I18">
        <v>1</v>
      </c>
      <c r="M18" t="str">
        <f t="shared" si="0"/>
        <v>R7 260</v>
      </c>
      <c r="N18" t="str">
        <f t="shared" si="1"/>
        <v>5060</v>
      </c>
      <c r="O18">
        <v>16</v>
      </c>
      <c r="P18" t="s">
        <v>127</v>
      </c>
      <c r="Q18">
        <v>512</v>
      </c>
      <c r="R18">
        <v>0</v>
      </c>
      <c r="S18" t="str" cm="1">
        <f t="array" ref="S18">IFERROR(
    LOOKUP(2^15, SEARCH({"16","18","14"}, D18), {"16","18","14"}),
    ""
)</f>
        <v>18</v>
      </c>
      <c r="T18">
        <v>1</v>
      </c>
      <c r="U18">
        <v>4</v>
      </c>
      <c r="V18">
        <v>0</v>
      </c>
      <c r="Z18" t="s">
        <v>19</v>
      </c>
    </row>
    <row r="19" spans="2:26" x14ac:dyDescent="0.3">
      <c r="B19" t="s">
        <v>106</v>
      </c>
      <c r="C19" t="s">
        <v>108</v>
      </c>
      <c r="D19" t="s">
        <v>83</v>
      </c>
      <c r="H19">
        <v>1</v>
      </c>
      <c r="I19">
        <v>1</v>
      </c>
      <c r="M19" t="str">
        <f t="shared" si="0"/>
        <v>R7 260</v>
      </c>
      <c r="N19" t="str">
        <f t="shared" si="1"/>
        <v>5070</v>
      </c>
      <c r="O19">
        <v>16</v>
      </c>
      <c r="P19" t="s">
        <v>127</v>
      </c>
      <c r="Q19">
        <v>512</v>
      </c>
      <c r="R19">
        <v>0</v>
      </c>
      <c r="S19" t="str" cm="1">
        <f t="array" ref="S19">IFERROR(
    LOOKUP(2^15, SEARCH({"16","18","14"}, D19), {"16","18","14"}),
    ""
)</f>
        <v>18</v>
      </c>
      <c r="T19">
        <v>1</v>
      </c>
      <c r="U19">
        <v>4</v>
      </c>
      <c r="V19">
        <v>0</v>
      </c>
      <c r="Z19" t="s">
        <v>19</v>
      </c>
    </row>
    <row r="20" spans="2:26" x14ac:dyDescent="0.3">
      <c r="B20" s="2"/>
      <c r="C20" t="s">
        <v>111</v>
      </c>
      <c r="D20" t="s">
        <v>22</v>
      </c>
      <c r="H20">
        <v>1</v>
      </c>
      <c r="I20">
        <v>1</v>
      </c>
      <c r="M20" t="str">
        <f t="shared" si="0"/>
        <v>R7 260</v>
      </c>
      <c r="N20" t="str">
        <f t="shared" si="1"/>
        <v>5060</v>
      </c>
      <c r="O20">
        <v>24</v>
      </c>
      <c r="P20" t="s">
        <v>127</v>
      </c>
      <c r="Q20">
        <v>512</v>
      </c>
      <c r="R20">
        <v>0</v>
      </c>
      <c r="S20">
        <v>15.1</v>
      </c>
      <c r="T20">
        <v>6</v>
      </c>
      <c r="U20">
        <v>8</v>
      </c>
      <c r="V20">
        <v>0</v>
      </c>
      <c r="Z20" t="s">
        <v>19</v>
      </c>
    </row>
    <row r="21" spans="2:26" x14ac:dyDescent="0.3">
      <c r="B21" t="s">
        <v>47</v>
      </c>
      <c r="C21" t="s">
        <v>109</v>
      </c>
      <c r="D21" t="s">
        <v>84</v>
      </c>
      <c r="H21">
        <v>1</v>
      </c>
      <c r="I21">
        <v>1</v>
      </c>
      <c r="M21" t="str">
        <f t="shared" si="0"/>
        <v>R7 350</v>
      </c>
      <c r="N21" t="str">
        <f t="shared" si="1"/>
        <v>5070</v>
      </c>
      <c r="O21">
        <v>32</v>
      </c>
      <c r="P21" t="s">
        <v>116</v>
      </c>
      <c r="Q21">
        <v>1024</v>
      </c>
      <c r="R21">
        <v>0</v>
      </c>
      <c r="S21" t="str" cm="1">
        <f t="array" ref="S21">IFERROR(
    LOOKUP(2^15, SEARCH({"16","18","14"}, D21), {"16","18","14"}),
    ""
)</f>
        <v>16</v>
      </c>
      <c r="T21">
        <v>5</v>
      </c>
      <c r="U21">
        <v>7</v>
      </c>
      <c r="V21">
        <v>0</v>
      </c>
      <c r="Z21" t="s">
        <v>19</v>
      </c>
    </row>
    <row r="22" spans="2:26" x14ac:dyDescent="0.3">
      <c r="B22" t="s">
        <v>52</v>
      </c>
      <c r="C22" t="s">
        <v>109</v>
      </c>
      <c r="D22" t="s">
        <v>87</v>
      </c>
      <c r="H22">
        <v>1</v>
      </c>
      <c r="I22">
        <v>1</v>
      </c>
      <c r="M22" t="str">
        <f t="shared" si="0"/>
        <v>R7 350</v>
      </c>
      <c r="N22" t="str">
        <f t="shared" si="1"/>
        <v>5060</v>
      </c>
      <c r="O22">
        <v>32</v>
      </c>
      <c r="P22" t="s">
        <v>116</v>
      </c>
      <c r="Q22">
        <v>1024</v>
      </c>
      <c r="R22">
        <v>0</v>
      </c>
      <c r="S22" t="str" cm="1">
        <f t="array" ref="S22">IFERROR(
    LOOKUP(2^15, SEARCH({"16","18","14"}, D22), {"16","18","14"}),
    ""
)</f>
        <v>18</v>
      </c>
      <c r="T22">
        <v>1</v>
      </c>
      <c r="U22">
        <v>7</v>
      </c>
      <c r="V22">
        <v>0</v>
      </c>
      <c r="Z22" t="s">
        <v>19</v>
      </c>
    </row>
    <row r="23" spans="2:26" x14ac:dyDescent="0.3">
      <c r="B23" t="s">
        <v>53</v>
      </c>
      <c r="C23" t="s">
        <v>109</v>
      </c>
      <c r="D23" t="s">
        <v>88</v>
      </c>
      <c r="H23">
        <v>1</v>
      </c>
      <c r="I23">
        <v>1</v>
      </c>
      <c r="M23" t="str">
        <f t="shared" si="0"/>
        <v>R7 350</v>
      </c>
      <c r="N23" t="str">
        <f t="shared" si="1"/>
        <v>5070</v>
      </c>
      <c r="O23">
        <v>32</v>
      </c>
      <c r="P23" t="s">
        <v>116</v>
      </c>
      <c r="Q23">
        <v>1024</v>
      </c>
      <c r="R23">
        <v>0</v>
      </c>
      <c r="S23" t="str" cm="1">
        <f t="array" ref="S23">IFERROR(
    LOOKUP(2^15, SEARCH({"16","18","14"}, D23), {"16","18","14"}),
    ""
)</f>
        <v>18</v>
      </c>
      <c r="T23">
        <v>1</v>
      </c>
      <c r="U23">
        <v>7</v>
      </c>
      <c r="V23">
        <v>0</v>
      </c>
      <c r="Z23" t="s">
        <v>19</v>
      </c>
    </row>
    <row r="24" spans="2:26" x14ac:dyDescent="0.3">
      <c r="B24" s="1" t="s">
        <v>132</v>
      </c>
      <c r="C24" t="s">
        <v>108</v>
      </c>
      <c r="D24" t="s">
        <v>29</v>
      </c>
      <c r="H24">
        <v>1</v>
      </c>
      <c r="I24">
        <v>1</v>
      </c>
      <c r="M24" t="str">
        <f t="shared" si="0"/>
        <v>R7 350</v>
      </c>
      <c r="N24" t="str">
        <f t="shared" si="1"/>
        <v>5060</v>
      </c>
      <c r="O24">
        <v>32</v>
      </c>
      <c r="P24" t="s">
        <v>131</v>
      </c>
      <c r="Q24">
        <v>1024</v>
      </c>
      <c r="R24">
        <v>0</v>
      </c>
      <c r="S24" t="str" cm="1">
        <f t="array" ref="S24">IFERROR(
    LOOKUP(2^15, SEARCH({"16","18","14"}, D24), {"16","18","14"}),
    ""
)</f>
        <v>14</v>
      </c>
      <c r="T24">
        <v>9</v>
      </c>
      <c r="U24">
        <v>6</v>
      </c>
      <c r="V24">
        <v>0</v>
      </c>
      <c r="Z24" t="s">
        <v>16</v>
      </c>
    </row>
    <row r="25" spans="2:26" x14ac:dyDescent="0.3">
      <c r="B25" t="s">
        <v>102</v>
      </c>
      <c r="C25" t="s">
        <v>112</v>
      </c>
      <c r="D25" t="s">
        <v>24</v>
      </c>
      <c r="H25">
        <v>1</v>
      </c>
      <c r="I25">
        <v>1</v>
      </c>
      <c r="M25" t="str">
        <f t="shared" si="0"/>
        <v>R7 350</v>
      </c>
      <c r="N25" t="str">
        <f t="shared" si="1"/>
        <v>5060</v>
      </c>
      <c r="O25">
        <v>32</v>
      </c>
      <c r="P25" t="s">
        <v>129</v>
      </c>
      <c r="Q25">
        <v>512</v>
      </c>
      <c r="R25">
        <v>0</v>
      </c>
      <c r="S25" t="str" cm="1">
        <f t="array" ref="S25">IFERROR(
    LOOKUP(2^15, SEARCH({"16","18","14"}, D25), {"16","18","14"}),
    ""
)</f>
        <v>16</v>
      </c>
      <c r="T25">
        <v>3</v>
      </c>
      <c r="U25">
        <v>7</v>
      </c>
      <c r="V25">
        <v>0</v>
      </c>
      <c r="Z25" t="s">
        <v>16</v>
      </c>
    </row>
    <row r="26" spans="2:26" x14ac:dyDescent="0.3">
      <c r="B26" t="s">
        <v>71</v>
      </c>
      <c r="C26" t="s">
        <v>112</v>
      </c>
      <c r="D26" t="s">
        <v>72</v>
      </c>
      <c r="H26">
        <v>1</v>
      </c>
      <c r="I26">
        <v>1</v>
      </c>
      <c r="M26" t="str">
        <f t="shared" si="0"/>
        <v>R7 350</v>
      </c>
      <c r="N26" t="str">
        <f t="shared" si="1"/>
        <v>5060</v>
      </c>
      <c r="O26">
        <v>32</v>
      </c>
      <c r="P26" t="s">
        <v>129</v>
      </c>
      <c r="Q26">
        <v>512</v>
      </c>
      <c r="R26">
        <v>0</v>
      </c>
      <c r="S26">
        <v>17.3</v>
      </c>
      <c r="T26">
        <v>1</v>
      </c>
      <c r="U26">
        <v>7</v>
      </c>
      <c r="V26">
        <v>0</v>
      </c>
      <c r="Z26" t="s">
        <v>115</v>
      </c>
    </row>
    <row r="27" spans="2:26" x14ac:dyDescent="0.3">
      <c r="B27" t="s">
        <v>117</v>
      </c>
      <c r="C27" t="s">
        <v>112</v>
      </c>
      <c r="D27" t="s">
        <v>65</v>
      </c>
      <c r="H27">
        <v>1</v>
      </c>
      <c r="I27">
        <v>1</v>
      </c>
      <c r="M27" t="str">
        <f t="shared" si="0"/>
        <v>R7 350</v>
      </c>
      <c r="N27" t="str">
        <f t="shared" si="1"/>
        <v>5070 Ti</v>
      </c>
      <c r="O27">
        <v>32</v>
      </c>
      <c r="P27" t="s">
        <v>129</v>
      </c>
      <c r="Q27">
        <v>1024</v>
      </c>
      <c r="R27">
        <v>1</v>
      </c>
      <c r="S27" t="str" cm="1">
        <f t="array" ref="S27">IFERROR(
    LOOKUP(2^15, SEARCH({"16","18","14"}, D27), {"16","18","14"}),
    ""
)</f>
        <v>16</v>
      </c>
      <c r="T27">
        <v>1</v>
      </c>
      <c r="U27">
        <v>7</v>
      </c>
      <c r="V27">
        <v>0</v>
      </c>
      <c r="Z27" t="s">
        <v>16</v>
      </c>
    </row>
    <row r="28" spans="2:26" x14ac:dyDescent="0.3">
      <c r="B28" s="1"/>
      <c r="C28" t="s">
        <v>111</v>
      </c>
      <c r="D28" t="s">
        <v>23</v>
      </c>
      <c r="H28">
        <v>1</v>
      </c>
      <c r="I28">
        <v>1</v>
      </c>
      <c r="M28" t="str">
        <f t="shared" si="0"/>
        <v>R7 350</v>
      </c>
      <c r="N28" t="str">
        <f t="shared" si="1"/>
        <v>5070</v>
      </c>
      <c r="O28">
        <v>32</v>
      </c>
      <c r="P28" t="s">
        <v>129</v>
      </c>
      <c r="Q28">
        <v>1024</v>
      </c>
      <c r="R28">
        <v>0</v>
      </c>
      <c r="S28">
        <v>15.1</v>
      </c>
      <c r="T28">
        <v>6</v>
      </c>
      <c r="U28">
        <v>8</v>
      </c>
      <c r="V28">
        <v>0</v>
      </c>
      <c r="Z28" t="s">
        <v>16</v>
      </c>
    </row>
    <row r="29" spans="2:26" x14ac:dyDescent="0.3">
      <c r="B29" t="s">
        <v>118</v>
      </c>
      <c r="C29" t="s">
        <v>112</v>
      </c>
      <c r="D29" t="s">
        <v>63</v>
      </c>
      <c r="H29">
        <v>1</v>
      </c>
      <c r="I29">
        <v>1</v>
      </c>
      <c r="M29" t="str">
        <f t="shared" si="0"/>
        <v>R9 375HX</v>
      </c>
      <c r="N29" t="str">
        <f t="shared" si="1"/>
        <v>5060</v>
      </c>
      <c r="O29">
        <v>32</v>
      </c>
      <c r="P29" t="s">
        <v>129</v>
      </c>
      <c r="Q29">
        <v>512</v>
      </c>
      <c r="R29">
        <v>1</v>
      </c>
      <c r="S29" t="str" cm="1">
        <f t="array" ref="S29">IFERROR(
    LOOKUP(2^15, SEARCH({"16","18","14"}, D29), {"16","18","14"}),
    ""
)</f>
        <v>16</v>
      </c>
      <c r="T29">
        <v>2</v>
      </c>
      <c r="U29">
        <v>7</v>
      </c>
      <c r="V29">
        <v>0</v>
      </c>
      <c r="Z29" t="s">
        <v>16</v>
      </c>
    </row>
    <row r="30" spans="2:26" x14ac:dyDescent="0.3">
      <c r="B30" t="s">
        <v>119</v>
      </c>
      <c r="C30" t="s">
        <v>112</v>
      </c>
      <c r="D30" t="s">
        <v>74</v>
      </c>
      <c r="H30">
        <v>1</v>
      </c>
      <c r="I30">
        <v>1</v>
      </c>
      <c r="M30" t="str">
        <f t="shared" si="0"/>
        <v>R9 375HX</v>
      </c>
      <c r="N30" t="str">
        <f t="shared" si="1"/>
        <v>5080</v>
      </c>
      <c r="O30">
        <v>32</v>
      </c>
      <c r="P30" t="s">
        <v>129</v>
      </c>
      <c r="Q30">
        <v>1024</v>
      </c>
      <c r="R30">
        <v>1</v>
      </c>
      <c r="S30" t="str" cm="1">
        <f t="array" ref="S30">IFERROR(
    LOOKUP(2^15, SEARCH({"16","18","14"}, D30), {"16","18","14"}),
    ""
)</f>
        <v>16</v>
      </c>
      <c r="T30">
        <v>1</v>
      </c>
      <c r="U30">
        <v>7</v>
      </c>
      <c r="V30">
        <v>0</v>
      </c>
      <c r="Z30" t="s">
        <v>16</v>
      </c>
    </row>
    <row r="31" spans="2:26" x14ac:dyDescent="0.3">
      <c r="B31" t="s">
        <v>39</v>
      </c>
      <c r="C31" t="s">
        <v>108</v>
      </c>
      <c r="D31" t="s">
        <v>42</v>
      </c>
      <c r="H31">
        <v>1</v>
      </c>
      <c r="I31">
        <v>1</v>
      </c>
      <c r="M31" t="str">
        <f t="shared" si="0"/>
        <v>R9 8940HX</v>
      </c>
      <c r="N31" t="str">
        <f t="shared" si="1"/>
        <v>5070</v>
      </c>
      <c r="O31">
        <v>16</v>
      </c>
      <c r="P31" t="s">
        <v>127</v>
      </c>
      <c r="Q31">
        <v>512</v>
      </c>
      <c r="R31">
        <v>0</v>
      </c>
      <c r="S31" t="str" cm="1">
        <f t="array" ref="S31">IFERROR(
    LOOKUP(2^15, SEARCH({"16","18","14"}, D31), {"16","18","14"}),
    ""
)</f>
        <v>16</v>
      </c>
      <c r="T31">
        <v>5</v>
      </c>
      <c r="U31">
        <v>6</v>
      </c>
      <c r="V31">
        <v>1</v>
      </c>
      <c r="Z31" t="s">
        <v>16</v>
      </c>
    </row>
    <row r="32" spans="2:26" x14ac:dyDescent="0.3">
      <c r="B32" s="1" t="s">
        <v>26</v>
      </c>
      <c r="C32" t="s">
        <v>112</v>
      </c>
      <c r="D32" t="s">
        <v>27</v>
      </c>
      <c r="H32">
        <v>1</v>
      </c>
      <c r="I32">
        <v>1</v>
      </c>
      <c r="M32" t="str">
        <f t="shared" si="0"/>
        <v>R9 8940HX</v>
      </c>
      <c r="N32" t="str">
        <f t="shared" si="1"/>
        <v>5060</v>
      </c>
      <c r="O32">
        <v>32</v>
      </c>
      <c r="P32" t="s">
        <v>129</v>
      </c>
      <c r="Q32">
        <v>1024</v>
      </c>
      <c r="R32">
        <v>0</v>
      </c>
      <c r="S32" t="str" cm="1">
        <f t="array" ref="S32">IFERROR(
    LOOKUP(2^15, SEARCH({"16","18","14"}, D32), {"16","18","14"}),
    ""
)</f>
        <v>16</v>
      </c>
      <c r="T32">
        <v>3</v>
      </c>
      <c r="U32">
        <v>7</v>
      </c>
      <c r="V32">
        <v>1</v>
      </c>
      <c r="Z32" t="s">
        <v>16</v>
      </c>
    </row>
    <row r="33" spans="2:26" x14ac:dyDescent="0.3">
      <c r="B33" t="s">
        <v>107</v>
      </c>
      <c r="C33" t="s">
        <v>110</v>
      </c>
      <c r="D33" t="s">
        <v>75</v>
      </c>
      <c r="H33">
        <v>1</v>
      </c>
      <c r="I33">
        <v>1</v>
      </c>
      <c r="M33" t="str">
        <f t="shared" si="0"/>
        <v>R9 9955HX</v>
      </c>
      <c r="N33" t="str">
        <f t="shared" si="1"/>
        <v>5080</v>
      </c>
      <c r="O33">
        <v>16</v>
      </c>
      <c r="P33" t="s">
        <v>129</v>
      </c>
      <c r="Q33">
        <v>1024</v>
      </c>
      <c r="R33">
        <v>0</v>
      </c>
      <c r="S33" t="str" cm="1">
        <f t="array" ref="S33">IFERROR(
    LOOKUP(2^15, SEARCH({"16","18","14"}, D33), {"16","18","14"}),
    ""
)</f>
        <v>18</v>
      </c>
      <c r="T33">
        <v>1</v>
      </c>
      <c r="U33">
        <v>8</v>
      </c>
      <c r="V33">
        <v>1</v>
      </c>
      <c r="W33">
        <v>360</v>
      </c>
      <c r="X33">
        <v>99</v>
      </c>
      <c r="Z33" t="s">
        <v>16</v>
      </c>
    </row>
    <row r="34" spans="2:26" x14ac:dyDescent="0.3">
      <c r="B34" t="s">
        <v>54</v>
      </c>
      <c r="C34" t="s">
        <v>108</v>
      </c>
      <c r="D34" t="s">
        <v>126</v>
      </c>
      <c r="E34" t="s">
        <v>153</v>
      </c>
      <c r="F34">
        <v>1</v>
      </c>
      <c r="H34">
        <v>1</v>
      </c>
      <c r="I34">
        <v>1</v>
      </c>
      <c r="M34" t="str">
        <f t="shared" ref="M34:M52" si="2">TRIM(MID(D34, FIND(",", D34)+1, FIND("/", D34)-FIND(",", D34)-1))</f>
        <v>R9 9955HX3D</v>
      </c>
      <c r="N34" t="str">
        <f t="shared" ref="N34:N56" si="3">_xlfn.LET(
    _xlpm.txt, TRIM(MID(D34, FIND("/", D34)+1, LEN(D34))),
    IFERROR(LEFT(_xlpm.txt, FIND("Ti", _xlpm.txt)+1), LEFT(_xlpm.txt, FIND(" ", _xlpm.txt&amp;" ")-1))
)</f>
        <v>5070 Ti</v>
      </c>
      <c r="O34">
        <v>16</v>
      </c>
      <c r="P34" t="s">
        <v>127</v>
      </c>
      <c r="Q34">
        <v>1024</v>
      </c>
      <c r="R34">
        <v>0</v>
      </c>
      <c r="S34" t="str" cm="1">
        <f t="array" ref="S34">IFERROR(
    LOOKUP(2^15, SEARCH({"16","18","14"}, D34), {"16","18","14"}),
    ""
)</f>
        <v>16</v>
      </c>
      <c r="T34">
        <v>2</v>
      </c>
      <c r="U34">
        <v>8</v>
      </c>
      <c r="V34">
        <v>1</v>
      </c>
      <c r="Z34" t="s">
        <v>16</v>
      </c>
    </row>
    <row r="35" spans="2:26" x14ac:dyDescent="0.3">
      <c r="B35" t="s">
        <v>55</v>
      </c>
      <c r="C35" t="s">
        <v>108</v>
      </c>
      <c r="D35" t="s">
        <v>126</v>
      </c>
      <c r="E35" t="s">
        <v>56</v>
      </c>
      <c r="F35">
        <v>2</v>
      </c>
      <c r="H35">
        <v>1</v>
      </c>
      <c r="I35">
        <v>1</v>
      </c>
      <c r="M35" t="str">
        <f t="shared" si="2"/>
        <v>R9 9955HX3D</v>
      </c>
      <c r="N35" t="str">
        <f t="shared" si="3"/>
        <v>5070 Ti</v>
      </c>
      <c r="O35">
        <v>16</v>
      </c>
      <c r="P35" t="s">
        <v>127</v>
      </c>
      <c r="Q35">
        <v>1024</v>
      </c>
      <c r="R35">
        <v>0</v>
      </c>
      <c r="S35" t="str" cm="1">
        <f t="array" ref="S35">IFERROR(
    LOOKUP(2^15, SEARCH({"16","18","14"}, D35), {"16","18","14"}),
    ""
)</f>
        <v>16</v>
      </c>
      <c r="T35">
        <v>2</v>
      </c>
      <c r="U35">
        <v>8</v>
      </c>
      <c r="V35">
        <v>1</v>
      </c>
      <c r="Z35" t="s">
        <v>16</v>
      </c>
    </row>
    <row r="36" spans="2:26" x14ac:dyDescent="0.3">
      <c r="B36" s="1" t="s">
        <v>25</v>
      </c>
      <c r="C36" t="s">
        <v>112</v>
      </c>
      <c r="D36" t="s">
        <v>137</v>
      </c>
      <c r="H36">
        <v>1</v>
      </c>
      <c r="I36">
        <v>1</v>
      </c>
      <c r="M36" t="str">
        <f t="shared" si="2"/>
        <v>U7 255H</v>
      </c>
      <c r="N36" t="str">
        <f t="shared" si="3"/>
        <v>5060</v>
      </c>
      <c r="O36">
        <v>24</v>
      </c>
      <c r="P36" t="s">
        <v>127</v>
      </c>
      <c r="Q36">
        <v>1024</v>
      </c>
      <c r="R36">
        <v>0</v>
      </c>
      <c r="S36" t="str" cm="1">
        <f t="array" ref="S36">IFERROR(
    LOOKUP(2^15, SEARCH({"16","18","14"}, D36), {"16","18","14"}),
    ""
)</f>
        <v>16</v>
      </c>
      <c r="T36">
        <v>3</v>
      </c>
      <c r="U36">
        <v>7</v>
      </c>
      <c r="V36">
        <v>0</v>
      </c>
      <c r="Z36" t="s">
        <v>16</v>
      </c>
    </row>
    <row r="37" spans="2:26" x14ac:dyDescent="0.3">
      <c r="B37" t="s">
        <v>70</v>
      </c>
      <c r="C37" t="s">
        <v>110</v>
      </c>
      <c r="D37" t="s">
        <v>100</v>
      </c>
      <c r="H37">
        <v>1</v>
      </c>
      <c r="I37">
        <v>1</v>
      </c>
      <c r="M37" t="str">
        <f t="shared" si="2"/>
        <v>U7 275HX</v>
      </c>
      <c r="N37" t="str">
        <f t="shared" si="3"/>
        <v>5070 Ti</v>
      </c>
      <c r="O37">
        <v>16</v>
      </c>
      <c r="P37" t="s">
        <v>129</v>
      </c>
      <c r="Q37">
        <v>1024</v>
      </c>
      <c r="R37">
        <v>0</v>
      </c>
      <c r="S37" t="str" cm="1">
        <f t="array" ref="S37">IFERROR(
    LOOKUP(2^15, SEARCH({"16","18","14"}, D37), {"16","18","14"}),
    ""
)</f>
        <v>16</v>
      </c>
      <c r="T37">
        <v>1</v>
      </c>
      <c r="U37">
        <v>8</v>
      </c>
      <c r="V37">
        <v>1</v>
      </c>
      <c r="W37">
        <v>270</v>
      </c>
      <c r="X37">
        <v>90</v>
      </c>
      <c r="Z37" t="s">
        <v>16</v>
      </c>
    </row>
    <row r="38" spans="2:26" x14ac:dyDescent="0.3">
      <c r="B38" t="s">
        <v>69</v>
      </c>
      <c r="C38" t="s">
        <v>110</v>
      </c>
      <c r="D38" t="s">
        <v>95</v>
      </c>
      <c r="H38">
        <v>1</v>
      </c>
      <c r="I38">
        <v>1</v>
      </c>
      <c r="M38" t="str">
        <f t="shared" si="2"/>
        <v>U7 275HX</v>
      </c>
      <c r="N38" t="str">
        <f t="shared" si="3"/>
        <v>5080</v>
      </c>
      <c r="O38">
        <v>16</v>
      </c>
      <c r="P38" t="s">
        <v>129</v>
      </c>
      <c r="Q38">
        <v>1024</v>
      </c>
      <c r="R38">
        <v>0</v>
      </c>
      <c r="S38" t="str" cm="1">
        <f t="array" ref="S38">IFERROR(
    LOOKUP(2^15, SEARCH({"16","18","14"}, D38), {"16","18","14"}),
    ""
)</f>
        <v>16</v>
      </c>
      <c r="T38">
        <v>1</v>
      </c>
      <c r="U38">
        <v>8</v>
      </c>
      <c r="V38">
        <v>1</v>
      </c>
      <c r="W38">
        <v>270</v>
      </c>
      <c r="X38">
        <v>90</v>
      </c>
      <c r="Z38" t="s">
        <v>16</v>
      </c>
    </row>
    <row r="39" spans="2:26" x14ac:dyDescent="0.3">
      <c r="B39" t="s">
        <v>48</v>
      </c>
      <c r="C39" t="s">
        <v>109</v>
      </c>
      <c r="D39" t="s">
        <v>85</v>
      </c>
      <c r="H39">
        <v>1</v>
      </c>
      <c r="I39">
        <v>1</v>
      </c>
      <c r="M39" t="str">
        <f t="shared" si="2"/>
        <v>U9 275HX</v>
      </c>
      <c r="N39" t="str">
        <f t="shared" si="3"/>
        <v>5060</v>
      </c>
      <c r="O39">
        <v>32</v>
      </c>
      <c r="P39" t="s">
        <v>116</v>
      </c>
      <c r="Q39">
        <v>1024</v>
      </c>
      <c r="R39">
        <v>0</v>
      </c>
      <c r="S39" t="str" cm="1">
        <f t="array" ref="S39">IFERROR(
    LOOKUP(2^15, SEARCH({"16","18","14"}, D39), {"16","18","14"}),
    ""
)</f>
        <v>16</v>
      </c>
      <c r="T39">
        <v>6</v>
      </c>
      <c r="U39">
        <v>9</v>
      </c>
      <c r="V39">
        <v>1</v>
      </c>
      <c r="Z39" t="s">
        <v>16</v>
      </c>
    </row>
    <row r="40" spans="2:26" x14ac:dyDescent="0.3">
      <c r="B40" t="s">
        <v>51</v>
      </c>
      <c r="C40" t="s">
        <v>109</v>
      </c>
      <c r="D40" t="s">
        <v>86</v>
      </c>
      <c r="H40">
        <v>1</v>
      </c>
      <c r="I40">
        <v>1</v>
      </c>
      <c r="M40" t="str">
        <f t="shared" si="2"/>
        <v>U9 275HX</v>
      </c>
      <c r="N40" t="str">
        <f t="shared" si="3"/>
        <v>5070</v>
      </c>
      <c r="O40">
        <v>32</v>
      </c>
      <c r="P40" t="s">
        <v>116</v>
      </c>
      <c r="Q40">
        <v>1024</v>
      </c>
      <c r="R40">
        <v>0</v>
      </c>
      <c r="S40" t="str" cm="1">
        <f t="array" ref="S40">IFERROR(
    LOOKUP(2^15, SEARCH({"16","18","14"}, D40), {"16","18","14"}),
    ""
)</f>
        <v>16</v>
      </c>
      <c r="T40">
        <v>3</v>
      </c>
      <c r="U40">
        <v>8</v>
      </c>
      <c r="V40">
        <v>1</v>
      </c>
      <c r="Z40" t="s">
        <v>16</v>
      </c>
    </row>
    <row r="41" spans="2:26" x14ac:dyDescent="0.3">
      <c r="B41" t="s">
        <v>155</v>
      </c>
      <c r="C41" t="s">
        <v>109</v>
      </c>
      <c r="D41" t="s">
        <v>96</v>
      </c>
      <c r="H41">
        <v>1</v>
      </c>
      <c r="I41">
        <v>1</v>
      </c>
      <c r="M41" t="str">
        <f t="shared" si="2"/>
        <v>U9 275HX</v>
      </c>
      <c r="N41" t="str">
        <f t="shared" si="3"/>
        <v>5070 Ti</v>
      </c>
      <c r="O41">
        <v>32</v>
      </c>
      <c r="P41" t="s">
        <v>116</v>
      </c>
      <c r="Q41">
        <v>1024</v>
      </c>
      <c r="R41">
        <v>0</v>
      </c>
      <c r="S41" t="str" cm="1">
        <f t="array" ref="S41">IFERROR(
    LOOKUP(2^15, SEARCH({"16","18","14"}, D41), {"16","18","14"}),
    ""
)</f>
        <v>16</v>
      </c>
      <c r="T41">
        <v>3</v>
      </c>
      <c r="U41">
        <v>8</v>
      </c>
      <c r="V41">
        <v>1</v>
      </c>
      <c r="Z41" t="s">
        <v>16</v>
      </c>
    </row>
    <row r="42" spans="2:26" x14ac:dyDescent="0.3">
      <c r="B42" t="s">
        <v>50</v>
      </c>
      <c r="C42" t="s">
        <v>109</v>
      </c>
      <c r="D42" t="s">
        <v>97</v>
      </c>
      <c r="H42">
        <v>1</v>
      </c>
      <c r="I42">
        <v>1</v>
      </c>
      <c r="M42" t="str">
        <f t="shared" si="2"/>
        <v>U9 275HX</v>
      </c>
      <c r="N42" t="str">
        <f t="shared" si="3"/>
        <v>5070 Ti</v>
      </c>
      <c r="O42">
        <v>32</v>
      </c>
      <c r="P42" t="s">
        <v>116</v>
      </c>
      <c r="Q42">
        <v>1024</v>
      </c>
      <c r="R42">
        <v>0</v>
      </c>
      <c r="S42" t="str" cm="1">
        <f t="array" ref="S42">IFERROR(
    LOOKUP(2^15, SEARCH({"16","18","14"}, D42), {"16","18","14"}),
    ""
)</f>
        <v>18</v>
      </c>
      <c r="T42">
        <v>1</v>
      </c>
      <c r="U42">
        <v>8</v>
      </c>
      <c r="V42">
        <v>1</v>
      </c>
      <c r="Z42" t="s">
        <v>16</v>
      </c>
    </row>
    <row r="43" spans="2:26" x14ac:dyDescent="0.3">
      <c r="B43" t="s">
        <v>128</v>
      </c>
      <c r="C43" t="s">
        <v>108</v>
      </c>
      <c r="D43" t="s">
        <v>73</v>
      </c>
      <c r="H43">
        <v>1</v>
      </c>
      <c r="I43">
        <v>1</v>
      </c>
      <c r="M43" t="str">
        <f t="shared" si="2"/>
        <v>U9 275HX</v>
      </c>
      <c r="N43" t="str">
        <f t="shared" si="3"/>
        <v>5080</v>
      </c>
      <c r="O43">
        <v>32</v>
      </c>
      <c r="P43" t="s">
        <v>129</v>
      </c>
      <c r="Q43">
        <v>1024</v>
      </c>
      <c r="R43">
        <v>0</v>
      </c>
      <c r="S43" t="str" cm="1">
        <f t="array" ref="S43">IFERROR(
    LOOKUP(2^15, SEARCH({"16","18","14"}, D43), {"16","18","14"}),
    ""
)</f>
        <v>16</v>
      </c>
      <c r="T43">
        <v>2</v>
      </c>
      <c r="U43">
        <v>8</v>
      </c>
      <c r="V43">
        <v>1</v>
      </c>
      <c r="Z43" t="s">
        <v>16</v>
      </c>
    </row>
    <row r="44" spans="2:26" x14ac:dyDescent="0.3">
      <c r="B44" t="s">
        <v>62</v>
      </c>
      <c r="C44" t="s">
        <v>108</v>
      </c>
      <c r="D44" t="s">
        <v>93</v>
      </c>
      <c r="H44">
        <v>1</v>
      </c>
      <c r="I44">
        <v>1</v>
      </c>
      <c r="M44" t="str">
        <f t="shared" si="2"/>
        <v>U9 275HX</v>
      </c>
      <c r="N44" t="str">
        <f t="shared" si="3"/>
        <v>5070</v>
      </c>
      <c r="O44">
        <v>32</v>
      </c>
      <c r="P44" t="s">
        <v>129</v>
      </c>
      <c r="Q44">
        <v>1024</v>
      </c>
      <c r="R44">
        <v>0</v>
      </c>
      <c r="S44" t="str" cm="1">
        <f t="array" ref="S44">IFERROR(
    LOOKUP(2^15, SEARCH({"16","18","14"}, D44), {"16","18","14"}),
    ""
)</f>
        <v>18</v>
      </c>
      <c r="T44">
        <v>1</v>
      </c>
      <c r="U44">
        <v>8</v>
      </c>
      <c r="V44">
        <v>1</v>
      </c>
      <c r="Z44" t="s">
        <v>16</v>
      </c>
    </row>
    <row r="45" spans="2:26" x14ac:dyDescent="0.3">
      <c r="B45" t="s">
        <v>61</v>
      </c>
      <c r="C45" t="s">
        <v>108</v>
      </c>
      <c r="D45" t="s">
        <v>99</v>
      </c>
      <c r="H45">
        <v>1</v>
      </c>
      <c r="I45">
        <v>1</v>
      </c>
      <c r="M45" t="str">
        <f t="shared" si="2"/>
        <v>U9 275HX</v>
      </c>
      <c r="N45" t="str">
        <f t="shared" si="3"/>
        <v>5070 Ti</v>
      </c>
      <c r="O45">
        <v>32</v>
      </c>
      <c r="P45" t="s">
        <v>129</v>
      </c>
      <c r="Q45">
        <v>1024</v>
      </c>
      <c r="R45">
        <v>0</v>
      </c>
      <c r="S45" t="str" cm="1">
        <f t="array" ref="S45">IFERROR(
    LOOKUP(2^15, SEARCH({"16","18","14"}, D45), {"16","18","14"}),
    ""
)</f>
        <v>18</v>
      </c>
      <c r="T45">
        <v>1</v>
      </c>
      <c r="U45">
        <v>8</v>
      </c>
      <c r="V45">
        <v>1</v>
      </c>
      <c r="Z45" t="s">
        <v>16</v>
      </c>
    </row>
    <row r="46" spans="2:26" x14ac:dyDescent="0.3">
      <c r="B46" t="s">
        <v>120</v>
      </c>
      <c r="C46" t="s">
        <v>112</v>
      </c>
      <c r="D46" t="s">
        <v>64</v>
      </c>
      <c r="H46">
        <v>1</v>
      </c>
      <c r="I46">
        <v>1</v>
      </c>
      <c r="M46" t="str">
        <f t="shared" si="2"/>
        <v>U9 275HX</v>
      </c>
      <c r="N46" t="str">
        <f t="shared" si="3"/>
        <v>5070</v>
      </c>
      <c r="O46">
        <v>32</v>
      </c>
      <c r="P46" t="s">
        <v>129</v>
      </c>
      <c r="Q46">
        <v>1024</v>
      </c>
      <c r="R46">
        <v>1</v>
      </c>
      <c r="S46" t="str" cm="1">
        <f t="array" ref="S46">IFERROR(
    LOOKUP(2^15, SEARCH({"16","18","14"}, D46), {"16","18","14"}),
    ""
)</f>
        <v>16</v>
      </c>
      <c r="T46">
        <v>2</v>
      </c>
      <c r="U46">
        <v>7</v>
      </c>
      <c r="V46">
        <v>1</v>
      </c>
      <c r="Z46" t="s">
        <v>16</v>
      </c>
    </row>
    <row r="47" spans="2:26" x14ac:dyDescent="0.3">
      <c r="B47" t="s">
        <v>121</v>
      </c>
      <c r="C47" t="s">
        <v>112</v>
      </c>
      <c r="D47" t="s">
        <v>66</v>
      </c>
      <c r="H47">
        <v>1</v>
      </c>
      <c r="I47">
        <v>1</v>
      </c>
      <c r="M47" t="str">
        <f t="shared" si="2"/>
        <v>U9 275HX</v>
      </c>
      <c r="N47" t="str">
        <f t="shared" si="3"/>
        <v>5070 Ti</v>
      </c>
      <c r="O47">
        <v>32</v>
      </c>
      <c r="P47" t="s">
        <v>129</v>
      </c>
      <c r="Q47">
        <v>1024</v>
      </c>
      <c r="R47">
        <v>1</v>
      </c>
      <c r="S47" t="str" cm="1">
        <f t="array" ref="S47">IFERROR(
    LOOKUP(2^15, SEARCH({"16","18","14"}, D47), {"16","18","14"}),
    ""
)</f>
        <v>16</v>
      </c>
      <c r="T47">
        <v>1</v>
      </c>
      <c r="U47">
        <v>7</v>
      </c>
      <c r="V47">
        <v>1</v>
      </c>
      <c r="Z47" t="s">
        <v>16</v>
      </c>
    </row>
    <row r="48" spans="2:26" x14ac:dyDescent="0.3">
      <c r="B48" t="s">
        <v>59</v>
      </c>
      <c r="C48" t="s">
        <v>111</v>
      </c>
      <c r="D48" t="s">
        <v>92</v>
      </c>
      <c r="H48">
        <v>1</v>
      </c>
      <c r="I48">
        <v>1</v>
      </c>
      <c r="M48" t="str">
        <f t="shared" si="2"/>
        <v>U9 275HX</v>
      </c>
      <c r="N48" t="str">
        <f t="shared" si="3"/>
        <v>5070</v>
      </c>
      <c r="O48">
        <v>32</v>
      </c>
      <c r="P48" t="s">
        <v>129</v>
      </c>
      <c r="Q48">
        <v>1024</v>
      </c>
      <c r="R48">
        <v>0</v>
      </c>
      <c r="S48" t="str" cm="1">
        <f t="array" ref="S48">IFERROR(
    LOOKUP(2^15, SEARCH({"16","18","14"}, D48), {"16","18","14"}),
    ""
)</f>
        <v>16</v>
      </c>
      <c r="T48">
        <v>7</v>
      </c>
      <c r="U48">
        <v>9</v>
      </c>
      <c r="V48">
        <v>1</v>
      </c>
      <c r="Z48" t="s">
        <v>16</v>
      </c>
    </row>
    <row r="49" spans="2:26" x14ac:dyDescent="0.3">
      <c r="B49" t="s">
        <v>58</v>
      </c>
      <c r="C49" t="s">
        <v>111</v>
      </c>
      <c r="D49" t="s">
        <v>114</v>
      </c>
      <c r="H49">
        <v>1</v>
      </c>
      <c r="I49">
        <v>1</v>
      </c>
      <c r="M49" t="str">
        <f t="shared" si="2"/>
        <v>U9 275HX</v>
      </c>
      <c r="N49" t="str">
        <f t="shared" si="3"/>
        <v>5070</v>
      </c>
      <c r="O49">
        <v>32</v>
      </c>
      <c r="P49" t="s">
        <v>129</v>
      </c>
      <c r="Q49">
        <v>1024</v>
      </c>
      <c r="R49">
        <v>0</v>
      </c>
      <c r="S49" t="str" cm="1">
        <f t="array" ref="S49">IFERROR(
    LOOKUP(2^15, SEARCH({"16","18","14"}, D49), {"16","18","14"}),
    ""
)</f>
        <v>16</v>
      </c>
      <c r="T49">
        <v>3</v>
      </c>
      <c r="U49">
        <v>8</v>
      </c>
      <c r="V49">
        <v>1</v>
      </c>
      <c r="W49">
        <v>243</v>
      </c>
      <c r="X49">
        <v>80</v>
      </c>
      <c r="Z49" t="s">
        <v>16</v>
      </c>
    </row>
    <row r="50" spans="2:26" x14ac:dyDescent="0.3">
      <c r="B50" t="s">
        <v>57</v>
      </c>
      <c r="C50" t="s">
        <v>111</v>
      </c>
      <c r="D50" t="s">
        <v>98</v>
      </c>
      <c r="H50">
        <v>1</v>
      </c>
      <c r="I50">
        <v>1</v>
      </c>
      <c r="M50" t="str">
        <f t="shared" si="2"/>
        <v>U9 275HX</v>
      </c>
      <c r="N50" t="str">
        <f t="shared" si="3"/>
        <v>5070 Ti</v>
      </c>
      <c r="O50">
        <v>32</v>
      </c>
      <c r="P50" t="s">
        <v>129</v>
      </c>
      <c r="Q50">
        <v>1024</v>
      </c>
      <c r="R50">
        <v>0</v>
      </c>
      <c r="S50" t="str" cm="1">
        <f t="array" ref="S50">IFERROR(
    LOOKUP(2^15, SEARCH({"16","18","14"}, D50), {"16","18","14"}),
    ""
)</f>
        <v>16</v>
      </c>
      <c r="T50">
        <v>3</v>
      </c>
      <c r="U50">
        <v>9</v>
      </c>
      <c r="V50">
        <v>1</v>
      </c>
      <c r="W50">
        <v>243</v>
      </c>
      <c r="X50">
        <v>80</v>
      </c>
      <c r="Z50" t="s">
        <v>16</v>
      </c>
    </row>
    <row r="51" spans="2:26" x14ac:dyDescent="0.3">
      <c r="B51" t="s">
        <v>76</v>
      </c>
      <c r="C51" t="s">
        <v>111</v>
      </c>
      <c r="D51" t="s">
        <v>113</v>
      </c>
      <c r="H51">
        <v>1</v>
      </c>
      <c r="I51">
        <v>1</v>
      </c>
      <c r="M51" t="str">
        <f t="shared" si="2"/>
        <v>U9 275HX</v>
      </c>
      <c r="N51" t="str">
        <f t="shared" si="3"/>
        <v>5080</v>
      </c>
      <c r="O51">
        <v>32</v>
      </c>
      <c r="P51" t="s">
        <v>129</v>
      </c>
      <c r="Q51">
        <v>1024</v>
      </c>
      <c r="R51">
        <v>0</v>
      </c>
      <c r="S51" t="str" cm="1">
        <f t="array" ref="S51">IFERROR(
    LOOKUP(2^15, SEARCH({"16","18","14"}, D51), {"16","18","14"}),
    ""
)</f>
        <v>16</v>
      </c>
      <c r="T51">
        <v>2</v>
      </c>
      <c r="U51">
        <v>9</v>
      </c>
      <c r="V51">
        <v>1</v>
      </c>
      <c r="W51">
        <v>257</v>
      </c>
      <c r="X51">
        <v>80</v>
      </c>
      <c r="Z51" t="s">
        <v>16</v>
      </c>
    </row>
    <row r="52" spans="2:26" x14ac:dyDescent="0.3">
      <c r="B52" t="s">
        <v>60</v>
      </c>
      <c r="C52" t="s">
        <v>111</v>
      </c>
      <c r="D52" t="s">
        <v>135</v>
      </c>
      <c r="H52">
        <v>1</v>
      </c>
      <c r="I52">
        <v>1</v>
      </c>
      <c r="M52" t="str">
        <f t="shared" si="2"/>
        <v>U9 275HX</v>
      </c>
      <c r="N52" t="str">
        <f t="shared" si="3"/>
        <v>5070 Ti</v>
      </c>
      <c r="O52">
        <v>32</v>
      </c>
      <c r="P52" t="s">
        <v>129</v>
      </c>
      <c r="Q52">
        <v>1024</v>
      </c>
      <c r="R52">
        <v>0</v>
      </c>
      <c r="S52" t="str" cm="1">
        <f t="array" ref="S52">IFERROR(
    LOOKUP(2^15, SEARCH({"16","18","14"}, D52), {"16","18","14"}),
    ""
)</f>
        <v>16</v>
      </c>
      <c r="T52">
        <v>2</v>
      </c>
      <c r="U52">
        <v>9</v>
      </c>
      <c r="V52">
        <v>1</v>
      </c>
      <c r="W52">
        <v>257</v>
      </c>
      <c r="X52">
        <v>80</v>
      </c>
      <c r="Z52" t="s">
        <v>16</v>
      </c>
    </row>
    <row r="53" spans="2:26" x14ac:dyDescent="0.3">
      <c r="B53" t="s">
        <v>138</v>
      </c>
      <c r="C53" t="s">
        <v>139</v>
      </c>
      <c r="D53" t="s">
        <v>147</v>
      </c>
      <c r="H53">
        <v>1</v>
      </c>
      <c r="I53">
        <v>1</v>
      </c>
      <c r="M53" t="str">
        <f t="shared" ref="M53:M55" si="4">TRIM(MID(D53, FIND(",", D53)+1, FIND("/", D53)-FIND(",", D53)-1))</f>
        <v>U5 225H</v>
      </c>
      <c r="N53" t="str">
        <f t="shared" si="3"/>
        <v>5050</v>
      </c>
      <c r="S53" t="str" cm="1">
        <f t="array" ref="S53">IFERROR(
    LOOKUP(2^15, SEARCH({"16","18","14"}, D53), {"16","18","14"}),
    ""
)</f>
        <v>16</v>
      </c>
      <c r="T53">
        <v>13</v>
      </c>
      <c r="U53">
        <v>6</v>
      </c>
      <c r="V53">
        <v>0</v>
      </c>
      <c r="W53">
        <v>136</v>
      </c>
      <c r="X53">
        <v>90</v>
      </c>
      <c r="Z53" t="s">
        <v>16</v>
      </c>
    </row>
    <row r="54" spans="2:26" x14ac:dyDescent="0.3">
      <c r="B54" t="s">
        <v>140</v>
      </c>
      <c r="C54" t="s">
        <v>141</v>
      </c>
      <c r="D54" t="s">
        <v>148</v>
      </c>
      <c r="E54" t="s">
        <v>142</v>
      </c>
      <c r="F54">
        <v>1</v>
      </c>
      <c r="H54">
        <v>1</v>
      </c>
      <c r="I54">
        <v>1</v>
      </c>
      <c r="M54" t="str">
        <f t="shared" si="4"/>
        <v>U5 225H</v>
      </c>
      <c r="N54" t="str">
        <f t="shared" si="3"/>
        <v>5050</v>
      </c>
      <c r="S54" t="str" cm="1">
        <f t="array" ref="S54">IFERROR(
    LOOKUP(2^15, SEARCH({"16","18","14"}, D54), {"16","18","14"}),
    ""
)</f>
        <v/>
      </c>
      <c r="T54">
        <v>13</v>
      </c>
      <c r="U54">
        <v>6</v>
      </c>
      <c r="V54">
        <v>0</v>
      </c>
      <c r="W54">
        <v>148</v>
      </c>
      <c r="X54">
        <v>90</v>
      </c>
      <c r="Z54" t="s">
        <v>16</v>
      </c>
    </row>
    <row r="55" spans="2:26" x14ac:dyDescent="0.3">
      <c r="B55" t="s">
        <v>143</v>
      </c>
      <c r="C55" t="s">
        <v>141</v>
      </c>
      <c r="D55" t="s">
        <v>148</v>
      </c>
      <c r="E55" t="s">
        <v>144</v>
      </c>
      <c r="F55">
        <v>2</v>
      </c>
      <c r="H55">
        <v>1</v>
      </c>
      <c r="I55">
        <v>1</v>
      </c>
      <c r="M55" t="str">
        <f t="shared" si="4"/>
        <v>U5 225H</v>
      </c>
      <c r="N55" t="str">
        <f t="shared" si="3"/>
        <v>5050</v>
      </c>
      <c r="T55">
        <v>13</v>
      </c>
      <c r="U55">
        <v>6</v>
      </c>
      <c r="V55">
        <v>0</v>
      </c>
      <c r="W55">
        <v>148</v>
      </c>
      <c r="X55">
        <v>90</v>
      </c>
      <c r="Z55" t="s">
        <v>16</v>
      </c>
    </row>
    <row r="56" spans="2:26" x14ac:dyDescent="0.3">
      <c r="B56" t="s">
        <v>143</v>
      </c>
      <c r="C56" t="s">
        <v>145</v>
      </c>
      <c r="D56" t="s">
        <v>146</v>
      </c>
      <c r="E56" t="s">
        <v>150</v>
      </c>
      <c r="F56">
        <v>1</v>
      </c>
      <c r="H56">
        <v>1</v>
      </c>
      <c r="I56">
        <v>1</v>
      </c>
      <c r="M56" t="str">
        <f>TRIM(MID(D56, FIND(",", D56)+1, FIND("/", D56)-FIND(",", D56)-1))</f>
        <v>R7 350</v>
      </c>
      <c r="N56" t="str">
        <f t="shared" si="3"/>
        <v>5060</v>
      </c>
      <c r="T56">
        <v>8</v>
      </c>
      <c r="U56">
        <v>6</v>
      </c>
      <c r="V56">
        <v>0</v>
      </c>
      <c r="W56">
        <v>190</v>
      </c>
      <c r="X56">
        <v>76</v>
      </c>
      <c r="Z56" t="s">
        <v>16</v>
      </c>
    </row>
    <row r="57" spans="2:26" x14ac:dyDescent="0.3">
      <c r="B57" t="s">
        <v>149</v>
      </c>
      <c r="D57" t="s">
        <v>146</v>
      </c>
      <c r="E57" t="s">
        <v>151</v>
      </c>
      <c r="F57">
        <v>2</v>
      </c>
      <c r="H57">
        <v>1</v>
      </c>
      <c r="I57">
        <v>1</v>
      </c>
      <c r="M57" t="str">
        <f>TRIM(MID(D57, FIND(",", D57)+1, FIND("/", D57)-FIND(",", D57)-1))</f>
        <v>R7 350</v>
      </c>
      <c r="T57">
        <v>8</v>
      </c>
      <c r="U57">
        <v>6</v>
      </c>
      <c r="V57">
        <v>0</v>
      </c>
      <c r="W57">
        <v>190</v>
      </c>
      <c r="X57">
        <v>76</v>
      </c>
      <c r="Z57" t="s">
        <v>16</v>
      </c>
    </row>
    <row r="58" spans="2:26" x14ac:dyDescent="0.3">
      <c r="M58" t="e">
        <f t="shared" ref="M58:M59" si="5">TRIM(MID(D58, FIND(",", D58)+1, FIND("/", D58)-FIND(",", D58)-1))</f>
        <v>#VALUE!</v>
      </c>
      <c r="Z58" t="s">
        <v>16</v>
      </c>
    </row>
    <row r="59" spans="2:26" x14ac:dyDescent="0.3">
      <c r="M59" t="e">
        <f t="shared" si="5"/>
        <v>#VALUE!</v>
      </c>
      <c r="Z59" t="s">
        <v>16</v>
      </c>
    </row>
    <row r="60" spans="2:26" x14ac:dyDescent="0.3">
      <c r="Z60" t="s">
        <v>16</v>
      </c>
    </row>
    <row r="61" spans="2:26" x14ac:dyDescent="0.3">
      <c r="Z61" t="s">
        <v>16</v>
      </c>
    </row>
    <row r="62" spans="2:26" x14ac:dyDescent="0.3">
      <c r="Z62" t="s">
        <v>16</v>
      </c>
    </row>
    <row r="63" spans="2:26" x14ac:dyDescent="0.3">
      <c r="Z63" t="s">
        <v>16</v>
      </c>
    </row>
    <row r="64" spans="2:26" x14ac:dyDescent="0.3">
      <c r="Z64" t="s">
        <v>16</v>
      </c>
    </row>
    <row r="65" spans="26:26" x14ac:dyDescent="0.3">
      <c r="Z65" t="s">
        <v>16</v>
      </c>
    </row>
    <row r="66" spans="26:26" x14ac:dyDescent="0.3">
      <c r="Z66" t="s">
        <v>16</v>
      </c>
    </row>
    <row r="67" spans="26:26" x14ac:dyDescent="0.3">
      <c r="Z67" t="s">
        <v>16</v>
      </c>
    </row>
    <row r="68" spans="26:26" x14ac:dyDescent="0.3">
      <c r="Z68" t="s">
        <v>16</v>
      </c>
    </row>
    <row r="69" spans="26:26" x14ac:dyDescent="0.3">
      <c r="Z69" t="s">
        <v>16</v>
      </c>
    </row>
    <row r="70" spans="26:26" x14ac:dyDescent="0.3">
      <c r="Z70" t="s">
        <v>16</v>
      </c>
    </row>
    <row r="71" spans="26:26" x14ac:dyDescent="0.3">
      <c r="Z71" t="s">
        <v>16</v>
      </c>
    </row>
    <row r="72" spans="26:26" x14ac:dyDescent="0.3">
      <c r="Z72" t="s">
        <v>16</v>
      </c>
    </row>
    <row r="73" spans="26:26" x14ac:dyDescent="0.3">
      <c r="Z73" t="s">
        <v>16</v>
      </c>
    </row>
    <row r="74" spans="26:26" x14ac:dyDescent="0.3">
      <c r="Z74" t="s">
        <v>16</v>
      </c>
    </row>
    <row r="75" spans="26:26" x14ac:dyDescent="0.3">
      <c r="Z75" t="s">
        <v>16</v>
      </c>
    </row>
    <row r="76" spans="26:26" x14ac:dyDescent="0.3">
      <c r="Z76" t="s">
        <v>16</v>
      </c>
    </row>
    <row r="77" spans="26:26" x14ac:dyDescent="0.3">
      <c r="Z77" t="s">
        <v>16</v>
      </c>
    </row>
    <row r="78" spans="26:26" x14ac:dyDescent="0.3">
      <c r="Z78" t="s">
        <v>16</v>
      </c>
    </row>
  </sheetData>
  <sortState xmlns:xlrd2="http://schemas.microsoft.com/office/spreadsheetml/2017/richdata2" ref="A2:X78">
    <sortCondition ref="M1:M78"/>
  </sortState>
  <phoneticPr fontId="18" type="noConversion"/>
  <hyperlinks>
    <hyperlink ref="B12" r:id="rId1" xr:uid="{108D5653-76A3-468D-822D-5792F977922A}"/>
    <hyperlink ref="B24" r:id="rId2" xr:uid="{671AC1F8-9822-4FFF-A6F5-FC1158DF84A7}"/>
    <hyperlink ref="B3" r:id="rId3" xr:uid="{AE84D4BF-8FA3-4B99-85DE-5D69AE3F3E8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형주 이</cp:lastModifiedBy>
  <dcterms:created xsi:type="dcterms:W3CDTF">2026-03-17T04:43:28Z</dcterms:created>
  <dcterms:modified xsi:type="dcterms:W3CDTF">2026-04-11T00:26:10Z</dcterms:modified>
</cp:coreProperties>
</file>