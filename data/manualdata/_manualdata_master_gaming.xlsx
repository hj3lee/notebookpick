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tebookpick\data\manualdata\"/>
    </mc:Choice>
  </mc:AlternateContent>
  <xr:revisionPtr revIDLastSave="0" documentId="13_ncr:1_{640CFF9B-B04C-4B63-914E-556B3A0FB240}" xr6:coauthVersionLast="47" xr6:coauthVersionMax="47" xr10:uidLastSave="{00000000-0000-0000-0000-000000000000}"/>
  <bookViews>
    <workbookView xWindow="16371" yWindow="0" windowWidth="16629" windowHeight="17880" xr2:uid="{52B35C0C-4AC1-4CD7-A119-F59BBD510595}"/>
  </bookViews>
  <sheets>
    <sheet name="전체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5" l="1" a="1"/>
  <c r="R9" i="5" s="1"/>
  <c r="R8" i="5" a="1"/>
  <c r="R8" i="5" s="1"/>
  <c r="R3" i="5" a="1"/>
  <c r="R3" i="5" s="1"/>
  <c r="R4" i="5" a="1"/>
  <c r="R4" i="5" s="1"/>
  <c r="R5" i="5" a="1"/>
  <c r="R5" i="5" s="1"/>
  <c r="R6" i="5" a="1"/>
  <c r="R6" i="5" s="1"/>
  <c r="R7" i="5" a="1"/>
  <c r="R7" i="5" s="1"/>
  <c r="R10" i="5" a="1"/>
  <c r="R10" i="5" s="1"/>
  <c r="R11" i="5" a="1"/>
  <c r="R11" i="5" s="1"/>
  <c r="R12" i="5" a="1"/>
  <c r="R12" i="5"/>
  <c r="R13" i="5" a="1"/>
  <c r="R13" i="5" s="1"/>
  <c r="R14" i="5" a="1"/>
  <c r="R14" i="5" s="1"/>
  <c r="R15" i="5" a="1"/>
  <c r="R15" i="5" s="1"/>
  <c r="R16" i="5" a="1"/>
  <c r="R16" i="5" s="1"/>
  <c r="R17" i="5" a="1"/>
  <c r="R17" i="5" s="1"/>
  <c r="R18" i="5" a="1"/>
  <c r="R18" i="5" s="1"/>
  <c r="R19" i="5" a="1"/>
  <c r="R19" i="5" s="1"/>
  <c r="R20" i="5" a="1"/>
  <c r="R20" i="5"/>
  <c r="R21" i="5" a="1"/>
  <c r="R21" i="5"/>
  <c r="R22" i="5" a="1"/>
  <c r="R22" i="5"/>
  <c r="R23" i="5" a="1"/>
  <c r="R23" i="5" s="1"/>
  <c r="R24" i="5" a="1"/>
  <c r="R24" i="5" s="1"/>
  <c r="R25" i="5" a="1"/>
  <c r="R25" i="5" s="1"/>
  <c r="R26" i="5" a="1"/>
  <c r="R26" i="5" s="1"/>
  <c r="R27" i="5" a="1"/>
  <c r="R27" i="5" s="1"/>
  <c r="R28" i="5" a="1"/>
  <c r="R28" i="5" s="1"/>
  <c r="R29" i="5" a="1"/>
  <c r="R29" i="5"/>
  <c r="R30" i="5" a="1"/>
  <c r="R30" i="5" s="1"/>
  <c r="R31" i="5" a="1"/>
  <c r="R31" i="5" s="1"/>
  <c r="R32" i="5" a="1"/>
  <c r="R32" i="5" s="1"/>
  <c r="R33" i="5" a="1"/>
  <c r="R33" i="5" s="1"/>
  <c r="R34" i="5" a="1"/>
  <c r="R34" i="5" s="1"/>
  <c r="R35" i="5" a="1"/>
  <c r="R35" i="5" s="1"/>
  <c r="R36" i="5" a="1"/>
  <c r="R36" i="5" s="1"/>
  <c r="R37" i="5" a="1"/>
  <c r="R37" i="5" s="1"/>
  <c r="R38" i="5" a="1"/>
  <c r="R38" i="5" s="1"/>
  <c r="R39" i="5" a="1"/>
  <c r="R39" i="5" s="1"/>
  <c r="R40" i="5" a="1"/>
  <c r="R40" i="5" s="1"/>
  <c r="R41" i="5" a="1"/>
  <c r="R41" i="5" s="1"/>
  <c r="R42" i="5" a="1"/>
  <c r="R42" i="5" s="1"/>
  <c r="R43" i="5" a="1"/>
  <c r="R43" i="5" s="1"/>
  <c r="R44" i="5" a="1"/>
  <c r="R44" i="5" s="1"/>
  <c r="R45" i="5" a="1"/>
  <c r="R45" i="5" s="1"/>
  <c r="R46" i="5" a="1"/>
  <c r="R46" i="5"/>
  <c r="R47" i="5" a="1"/>
  <c r="R47" i="5"/>
  <c r="R48" i="5" a="1"/>
  <c r="R48" i="5"/>
  <c r="R49" i="5" a="1"/>
  <c r="R49" i="5"/>
  <c r="R50" i="5" a="1"/>
  <c r="R50" i="5" s="1"/>
  <c r="R51" i="5" a="1"/>
  <c r="R51" i="5" s="1"/>
  <c r="R52" i="5" a="1"/>
  <c r="R52" i="5" s="1"/>
  <c r="R53" i="5" a="1"/>
  <c r="R53" i="5" s="1"/>
  <c r="R2" i="5" a="1"/>
  <c r="R2" i="5" s="1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<sst xmlns="http://schemas.openxmlformats.org/spreadsheetml/2006/main" count="266" uniqueCount="134">
  <si>
    <t>id</t>
  </si>
  <si>
    <t>link</t>
  </si>
  <si>
    <t>brand</t>
  </si>
  <si>
    <t>name</t>
  </si>
  <si>
    <t>remark</t>
  </si>
  <si>
    <t>sold_out</t>
  </si>
  <si>
    <t>price_reference</t>
  </si>
  <si>
    <t>price_current</t>
  </si>
  <si>
    <t>discount_rate</t>
  </si>
  <si>
    <t>cpu</t>
  </si>
  <si>
    <t>ram</t>
  </si>
  <si>
    <t>ram_type</t>
  </si>
  <si>
    <t>ssd</t>
  </si>
  <si>
    <t>screen_size</t>
  </si>
  <si>
    <t>market</t>
  </si>
  <si>
    <t>lasust_update</t>
  </si>
  <si>
    <t>쿠팡</t>
  </si>
  <si>
    <t>window</t>
    <phoneticPr fontId="18" type="noConversion"/>
  </si>
  <si>
    <t>not_selling</t>
    <phoneticPr fontId="18" type="noConversion"/>
  </si>
  <si>
    <t>https://www.coupang.com/vp/products/9018633339?itemId=26440741094&amp;vendorItemId=93416362417</t>
  </si>
  <si>
    <t>쿠팡</t>
    <phoneticPr fontId="18" type="noConversion"/>
  </si>
  <si>
    <t>LOQ 15AHP10, R7 250/5060</t>
  </si>
  <si>
    <t>gpu</t>
    <phoneticPr fontId="18" type="noConversion"/>
  </si>
  <si>
    <t>리전 5 15AHP10, R7 260/5060</t>
  </si>
  <si>
    <t>리전 5 15AKP10, R7 350/5070</t>
  </si>
  <si>
    <t>오멘 16, R7 350/5060</t>
  </si>
  <si>
    <t>오멘 16, U5 255H/5060</t>
  </si>
  <si>
    <t>https://www.coupang.com/vp/products/9277699361?itemId=27465445395&amp;vendorItemId=94430699317</t>
  </si>
  <si>
    <t>https://www.coupang.com/vp/products/8837462423?itemId=25754178542&amp;vendorItemId=92742426422</t>
  </si>
  <si>
    <t>오멘 16, R9 8940HX/5060</t>
  </si>
  <si>
    <t>https://www.coupang.com/vp/products/8852815391?itemId=25809161282&amp;vendorItemId=92796439383</t>
  </si>
  <si>
    <t>TUF A14, R7 260/5060</t>
  </si>
  <si>
    <t>https://www.coupang.com/vp/products/8899002151?itemId=25984595232&amp;vendorItemId=92967046664</t>
  </si>
  <si>
    <t>TUF A14, R7 350/5060</t>
  </si>
  <si>
    <t>https://www.coupang.com/vp/products/8952675716?itemId=26188751314&amp;vendorItemId=93168176760</t>
  </si>
  <si>
    <t>single</t>
    <phoneticPr fontId="18" type="noConversion"/>
  </si>
  <si>
    <t>1TB</t>
    <phoneticPr fontId="18" type="noConversion"/>
  </si>
  <si>
    <t>512GB</t>
    <phoneticPr fontId="18" type="noConversion"/>
  </si>
  <si>
    <t>https://www.coupang.com/vp/products/8774172630?itemId=25524523223&amp;vendorItemId=92516319080</t>
  </si>
  <si>
    <t>TUF A16, R7 260/5060</t>
  </si>
  <si>
    <t>https://www.coupang.com/vp/products/8783926143?itemId=25559511189&amp;vendorItemId=92550827920</t>
  </si>
  <si>
    <t>https://www.coupang.com/vp/products/8853447738?itemId=25811877071&amp;vendorItemId=92799026566</t>
  </si>
  <si>
    <t>TUF A16, R7 260/5050</t>
  </si>
  <si>
    <t>https://www.coupang.com/vp/products/8775686288?itemId=25530075131&amp;vendorItemId=92521813430</t>
  </si>
  <si>
    <t>https://www.coupang.com/vp/products/8835024384?itemId=25745774086&amp;vendorItemId=92734130287</t>
  </si>
  <si>
    <t>https://www.coupang.com/vp/products/8982779083?itemId=26301942628&amp;vendorItemId=93279668232</t>
  </si>
  <si>
    <t>TUF A16, R9 8940HX/5070 WQXGA</t>
  </si>
  <si>
    <t>https://www.coupang.com/vp/products/9167902430?itemId=27014590927&amp;vendorItemId=93983227395</t>
  </si>
  <si>
    <t>https://www.coupang.com/vp/products/8899002146?itemId=25984595201&amp;vendorItemId=92967046632</t>
  </si>
  <si>
    <t>https://www.coupang.com/vp/products/8773992950?itemId=25523735423&amp;vendorItemId=92515547957</t>
  </si>
  <si>
    <t>https://www.coupang.com/vp/products/9205272622?itemId=27183962156&amp;vendorItemId=94151511891</t>
  </si>
  <si>
    <t>https://www.coupang.com/vp/products/9074269633?itemId=26652309626&amp;vendorItemId=93624824750</t>
  </si>
  <si>
    <t>https://www.coupang.com/vp/products/8904297554?itemId=26003982478&amp;vendorItemId=92986077906</t>
  </si>
  <si>
    <t>니트로 V 16 슬림, R7 260/5060</t>
  </si>
  <si>
    <t>https://www.coupang.com/vp/products/8971714769?itemId=26258100341&amp;vendorItemId=93236465468</t>
  </si>
  <si>
    <t>https://www.coupang.com/vp/products/8880588148?itemId=25917512831&amp;vendorItemId=92903064695</t>
  </si>
  <si>
    <t>https://www.coupang.com/vp/products/9234391064?itemId=27300437532&amp;vendorItemId=94266985637</t>
  </si>
  <si>
    <t>https://www.coupang.com/vp/products/9200481145?itemId=27164469297&amp;vendorItemId=94132178204</t>
  </si>
  <si>
    <t>https://www.coupang.com/vp/products/8733078928?itemId=25376712122&amp;vendorItemId=92370774835</t>
  </si>
  <si>
    <t>https://www.coupang.com/vp/products/8733078928?itemId=25777643455&amp;vendorItemId=92765623467</t>
  </si>
  <si>
    <t>win11</t>
    <phoneticPr fontId="18" type="noConversion"/>
  </si>
  <si>
    <t>https://www.coupang.com/vp/products/8873266044?itemId=25890522816&amp;vendorItemId=92876445013</t>
  </si>
  <si>
    <t>https://www.coupang.com/vp/products/8836980191?itemId=25752060438&amp;vendorItemId=92740350838</t>
  </si>
  <si>
    <t>https://www.coupang.com/vp/products/8935925393?itemId=25890522454&amp;vendorItemId=92876444744</t>
  </si>
  <si>
    <t>https://www.coupang.com/vp/products/8760962623?itemId=25474920787&amp;vendorItemId=92467342021</t>
  </si>
  <si>
    <t>https://www.coupang.com/vp/products/8792486494?itemId=25592949982&amp;vendorItemId=92583699379</t>
  </si>
  <si>
    <t>https://www.coupang.com/vp/products/8790276970?itemId=25584164030&amp;vendorItemId=92575058855</t>
  </si>
  <si>
    <t>오멘 맥스 16, R9 375HX/5060</t>
  </si>
  <si>
    <t>오멘 맥스 16, U9 275HX/5070</t>
  </si>
  <si>
    <t>오멘 맥스 16, R7 350/5070 Ti</t>
  </si>
  <si>
    <t>오멘 맥스 16, U9 275HX/5070 Ti</t>
  </si>
  <si>
    <t>https://www.coupang.com/vp/products/8966522013?itemId=26241074138&amp;vendorItemId=93219739755</t>
  </si>
  <si>
    <t>오멘 맥스 16, 255HX/5060 OLED</t>
  </si>
  <si>
    <t>https://www.coupang.com/vp/products/9325824364?itemId=27736313139&amp;vendorItemId=94697490099</t>
  </si>
  <si>
    <t>https://www.coupang.com/vp/products/8715362832?itemId=25312533063&amp;vendorItemId=92307623157</t>
  </si>
  <si>
    <t>https://www.coupang.com/vp/products/8771764425?itemId=25515886631&amp;vendorItemId=92507808343</t>
  </si>
  <si>
    <t>https://www.coupang.com/vp/products/8941557079?itemId=26148695560&amp;vendorItemId=93128696273</t>
  </si>
  <si>
    <t>오멘 17, R7 350/5060</t>
  </si>
  <si>
    <t>https://www.coupang.com/vp/products/8721382195?itemId=25333537099&amp;vendorItemId=92328320231</t>
  </si>
  <si>
    <t>ROG 스트릭스 G16, U9 275HX/5080</t>
  </si>
  <si>
    <t>오멘 맥스 16, R9 375HX/5080</t>
  </si>
  <si>
    <t>레이더 A18, R9 9955HX/5080</t>
  </si>
  <si>
    <t>https://www.coupang.com/vp/products/8686463967?itemId=25217316659&amp;vendorItemId=92213738237</t>
  </si>
  <si>
    <t>TUF A16, R7 260/5060 WQXGA</t>
  </si>
  <si>
    <t>TUF F16, I7 14650HX/5060 WQXGA</t>
  </si>
  <si>
    <t>TUF F16, I7 14650HX/5070 WQXGA</t>
  </si>
  <si>
    <t>TUF F16, I5 14450HX/5050</t>
  </si>
  <si>
    <t>TUF A18, R7 260/5050</t>
  </si>
  <si>
    <t>TUF A18, R7 260/5060</t>
  </si>
  <si>
    <t>TUF A18, R7 260/5070</t>
  </si>
  <si>
    <t>니트로 16 슬림, R7 350/5070</t>
  </si>
  <si>
    <t>헬리오스 네오 16 슬림, U9 275HX/5060</t>
  </si>
  <si>
    <t>헬리오스 네오 16, U9 275HX/5070</t>
  </si>
  <si>
    <t>니트로 18, R7 350/5060</t>
  </si>
  <si>
    <t>니트로 18, R7 350/5070</t>
  </si>
  <si>
    <t>빅터스 16, I5 13500HX/4060</t>
  </si>
  <si>
    <t>빅터스 16, I5 14450HX/4060</t>
  </si>
  <si>
    <t>소드 GF76 17.3, I7 14650HX/5060</t>
  </si>
  <si>
    <t>리전 7 16IAX10, U9 275HX/5070</t>
  </si>
  <si>
    <t>ROG 스트릭스 G18, U9 275HX/5070</t>
  </si>
  <si>
    <t>오멘 15, I5 14450HX/5060</t>
  </si>
  <si>
    <t>벡터 16, U7 275HX/5080</t>
  </si>
  <si>
    <t>헬리오스 네오 16, U9 275HX/5070 Ti</t>
  </si>
  <si>
    <t>헬리오스 네오 18, U9 275HX/5070 Ti</t>
  </si>
  <si>
    <t>리전 프로 5 16IAX10, U9 275HX/5070 Ti</t>
  </si>
  <si>
    <t>리전프로 7 16IAX10, U9 275HX/5070 Ti</t>
  </si>
  <si>
    <t>ROG 스트릭스 G18, U9 275HX/5070 Ti</t>
  </si>
  <si>
    <t>벡터 16, U7 275HX/5070 Ti</t>
  </si>
  <si>
    <t>variant</t>
    <phoneticPr fontId="18" type="noConversion"/>
  </si>
  <si>
    <t>https://www.coupang.com/vp/products/8826112134?itemId=25719163101&amp;vendorItemId=92707939317</t>
  </si>
  <si>
    <t>https://www.coupang.com/vp/products/7685542307?itemId=19025582401&amp;vendorItemId=86149803397</t>
    <phoneticPr fontId="18" type="noConversion"/>
  </si>
  <si>
    <t>https://www.coupang.com/vp/products/8677554106?itemId=25190830588&amp;vendorItemId=92187575667</t>
    <phoneticPr fontId="18" type="noConversion"/>
  </si>
  <si>
    <t>https://www.coupang.com/vp/products/8825969244?itemId=25789822919&amp;vendorItemId=92777600085</t>
    <phoneticPr fontId="18" type="noConversion"/>
  </si>
  <si>
    <t>https://www.coupang.com/vp/products/8835398704?itemId=25746757768&amp;vendorItemId=92735093516</t>
    <phoneticPr fontId="18" type="noConversion"/>
  </si>
  <si>
    <t>https://www.coupang.com/vp/products/8711669095?itemId=26764774488&amp;vendorItemId=93735603813</t>
    <phoneticPr fontId="18" type="noConversion"/>
  </si>
  <si>
    <t>ASUS</t>
    <phoneticPr fontId="18" type="noConversion"/>
  </si>
  <si>
    <t>acer</t>
    <phoneticPr fontId="18" type="noConversion"/>
  </si>
  <si>
    <t>msi</t>
    <phoneticPr fontId="18" type="noConversion"/>
  </si>
  <si>
    <t>Lenovo</t>
    <phoneticPr fontId="18" type="noConversion"/>
  </si>
  <si>
    <t>HP</t>
    <phoneticPr fontId="18" type="noConversion"/>
  </si>
  <si>
    <t>리전 프로 7 16IAX10, U9 275HX/5080</t>
    <phoneticPr fontId="18" type="noConversion"/>
  </si>
  <si>
    <t>리전 프로 5 16IAX10, U9 275HX/5070</t>
    <phoneticPr fontId="18" type="noConversion"/>
  </si>
  <si>
    <t>쿠팡</t>
    <phoneticPr fontId="18" type="noConversion"/>
  </si>
  <si>
    <t>dual</t>
    <phoneticPr fontId="18" type="noConversion"/>
  </si>
  <si>
    <t>https://www.coupang.com/vp/products/8771136679?itemId=25513329531&amp;vendorItemId=92505305899</t>
    <phoneticPr fontId="18" type="noConversion"/>
  </si>
  <si>
    <t>https://www.coupang.com/vp/products/8826133206?itemId=25719248433&amp;vendorItemId=92708022379</t>
    <phoneticPr fontId="18" type="noConversion"/>
  </si>
  <si>
    <t>https://www.coupang.com/vp/products/8763580498?itemId=25484221675&amp;vendorItemId=92476480219</t>
    <phoneticPr fontId="18" type="noConversion"/>
  </si>
  <si>
    <t>https://www.coupang.com/vp/products/8758944787?itemId=25467752802&amp;vendorItemId=92460264359</t>
    <phoneticPr fontId="18" type="noConversion"/>
  </si>
  <si>
    <t>https://www.coupang.com/vp/products/8771223830?itemId=25513732236&amp;vendorItemId=92505701532</t>
    <phoneticPr fontId="18" type="noConversion"/>
  </si>
  <si>
    <t>portability</t>
  </si>
  <si>
    <t>display</t>
    <phoneticPr fontId="18" type="noConversion"/>
  </si>
  <si>
    <t>cpu_style</t>
    <phoneticPr fontId="18" type="noConversion"/>
  </si>
  <si>
    <t>single</t>
    <phoneticPr fontId="18" type="noConversion"/>
  </si>
  <si>
    <t>ROG 스트릭스 G16, R9 9955HX3D/5070 Ti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</si>
</sst>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0" xfId="42">
      <alignment vertical="center"/>
    </xf>
    <xf numFmtId="0" fontId="19" fillId="0" borderId="0" xfId="42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8763580498?itemId=25484221675&amp;vendorItemId=92476480219" TargetMode="External"/><Relationship Id="rId3" Type="http://schemas.openxmlformats.org/officeDocument/2006/relationships/hyperlink" Target="https://www.coupang.com/vp/products/8677554106?itemId=25190830588&amp;vendorItemId=92187575667" TargetMode="External"/><Relationship Id="rId7" Type="http://schemas.openxmlformats.org/officeDocument/2006/relationships/hyperlink" Target="https://www.coupang.com/vp/products/8826133206?itemId=25719248433&amp;vendorItemId=92708022379" TargetMode="External"/><Relationship Id="rId2" Type="http://schemas.openxmlformats.org/officeDocument/2006/relationships/hyperlink" Target="https://www.coupang.com/vp/products/7685542307?itemId=19025582401&amp;vendorItemId=86149803397" TargetMode="External"/><Relationship Id="rId1" Type="http://schemas.openxmlformats.org/officeDocument/2006/relationships/hyperlink" Target="https://www.coupang.com/vp/products/8711669095?itemId=26764774488&amp;vendorItemId=93735603813" TargetMode="External"/><Relationship Id="rId6" Type="http://schemas.openxmlformats.org/officeDocument/2006/relationships/hyperlink" Target="https://www.coupang.com/vp/products/8771136679?itemId=25513329531&amp;vendorItemId=92505305899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coupang.com/vp/products/8835398704?itemId=25746757768&amp;vendorItemId=92735093516" TargetMode="External"/><Relationship Id="rId10" Type="http://schemas.openxmlformats.org/officeDocument/2006/relationships/hyperlink" Target="https://www.coupang.com/vp/products/8771223830?itemId=25513732236&amp;vendorItemId=92505701532" TargetMode="External"/><Relationship Id="rId4" Type="http://schemas.openxmlformats.org/officeDocument/2006/relationships/hyperlink" Target="https://www.coupang.com/vp/products/8825969244?itemId=25789822919&amp;vendorItemId=92777600085" TargetMode="External"/><Relationship Id="rId9" Type="http://schemas.openxmlformats.org/officeDocument/2006/relationships/hyperlink" Target="https://www.coupang.com/vp/products/8758944787?itemId=25467752802&amp;vendorItemId=924602643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11788-00EA-46D9-AD03-A2E5A7239D60}">
  <dimension ref="A1:Z79"/>
  <sheetViews>
    <sheetView tabSelected="1" zoomScaleNormal="100" workbookViewId="0">
      <selection activeCell="E16" sqref="E16"/>
    </sheetView>
  </sheetViews>
  <sheetFormatPr defaultRowHeight="17.600000000000001" x14ac:dyDescent="0.55000000000000004"/>
  <cols>
    <col min="2" max="2" width="10.640625" customWidth="1"/>
    <col min="4" max="4" width="40.85546875" bestFit="1" customWidth="1"/>
    <col min="6" max="7" width="0" hidden="1" customWidth="1"/>
    <col min="8" max="8" width="10.640625" hidden="1" customWidth="1"/>
    <col min="9" max="9" width="14.0703125" hidden="1" customWidth="1"/>
    <col min="10" max="10" width="12.140625" hidden="1" customWidth="1"/>
    <col min="11" max="11" width="12.5" hidden="1" customWidth="1"/>
    <col min="12" max="12" width="18.42578125" hidden="1" customWidth="1"/>
    <col min="13" max="13" width="0" hidden="1" customWidth="1"/>
    <col min="17" max="18" width="0" hidden="1" customWidth="1"/>
  </cols>
  <sheetData>
    <row r="1" spans="1:2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</v>
      </c>
      <c r="G1" t="s">
        <v>5</v>
      </c>
      <c r="H1" t="s">
        <v>18</v>
      </c>
      <c r="I1" t="s">
        <v>6</v>
      </c>
      <c r="J1" t="s">
        <v>7</v>
      </c>
      <c r="K1" t="s">
        <v>8</v>
      </c>
      <c r="L1" t="s">
        <v>9</v>
      </c>
      <c r="M1" t="s">
        <v>22</v>
      </c>
      <c r="N1" t="s">
        <v>10</v>
      </c>
      <c r="O1" t="s">
        <v>11</v>
      </c>
      <c r="P1" t="s">
        <v>12</v>
      </c>
      <c r="Q1" t="s">
        <v>17</v>
      </c>
      <c r="R1" t="s">
        <v>13</v>
      </c>
      <c r="S1" t="s">
        <v>129</v>
      </c>
      <c r="T1" t="s">
        <v>130</v>
      </c>
      <c r="U1" t="s">
        <v>131</v>
      </c>
      <c r="Y1" t="s">
        <v>14</v>
      </c>
      <c r="Z1" t="s">
        <v>15</v>
      </c>
    </row>
    <row r="2" spans="1:26" x14ac:dyDescent="0.55000000000000004">
      <c r="B2" t="s">
        <v>51</v>
      </c>
      <c r="C2" t="s">
        <v>116</v>
      </c>
      <c r="D2" t="s">
        <v>90</v>
      </c>
      <c r="H2">
        <v>0</v>
      </c>
      <c r="L2" t="str">
        <f>TRIM(MID(D2, FIND(",", D2)+1, FIND("/", D2)-FIND(",", D2)-1))</f>
        <v>R7 350</v>
      </c>
      <c r="M2" t="str">
        <f>_xlfn.LET(
    _xlpm.txt, TRIM(MID(D2, FIND("/", D2)+1, LEN(D2))),
    IFERROR(LEFT(_xlpm.txt, FIND("Ti", _xlpm.txt)+1), LEFT(_xlpm.txt, FIND(" ", _xlpm.txt&amp;" ")-1))
)</f>
        <v>5070</v>
      </c>
      <c r="N2">
        <v>32</v>
      </c>
      <c r="O2" t="s">
        <v>123</v>
      </c>
      <c r="P2">
        <v>1024</v>
      </c>
      <c r="Q2">
        <v>0</v>
      </c>
      <c r="R2" t="str" cm="1">
        <f t="array" ref="R2">IFERROR(
    LOOKUP(2^15, SEARCH({"16","18","14"}, D2), {"16","18","14"}),
    ""
)</f>
        <v>16</v>
      </c>
      <c r="S2">
        <v>5</v>
      </c>
      <c r="T2">
        <v>7</v>
      </c>
      <c r="U2">
        <v>0</v>
      </c>
      <c r="Y2" t="s">
        <v>20</v>
      </c>
    </row>
    <row r="3" spans="1:26" x14ac:dyDescent="0.55000000000000004">
      <c r="B3" t="s">
        <v>56</v>
      </c>
      <c r="C3" t="s">
        <v>116</v>
      </c>
      <c r="D3" t="s">
        <v>93</v>
      </c>
      <c r="H3">
        <v>0</v>
      </c>
      <c r="L3" t="str">
        <f t="shared" ref="L3:L53" si="0">TRIM(MID(D3, FIND(",", D3)+1, FIND("/", D3)-FIND(",", D3)-1))</f>
        <v>R7 350</v>
      </c>
      <c r="M3" t="str">
        <f t="shared" ref="M3:M53" si="1">_xlfn.LET(
    _xlpm.txt, TRIM(MID(D3, FIND("/", D3)+1, LEN(D3))),
    IFERROR(LEFT(_xlpm.txt, FIND("Ti", _xlpm.txt)+1), LEFT(_xlpm.txt, FIND(" ", _xlpm.txt&amp;" ")-1))
)</f>
        <v>5060</v>
      </c>
      <c r="N3">
        <v>32</v>
      </c>
      <c r="O3" t="s">
        <v>123</v>
      </c>
      <c r="P3">
        <v>1024</v>
      </c>
      <c r="Q3">
        <v>0</v>
      </c>
      <c r="R3" t="str" cm="1">
        <f t="array" ref="R3">IFERROR(
    LOOKUP(2^15, SEARCH({"16","18","14"}, D3), {"16","18","14"}),
    ""
)</f>
        <v>18</v>
      </c>
      <c r="S3">
        <v>1</v>
      </c>
      <c r="T3">
        <v>7</v>
      </c>
      <c r="Y3" t="s">
        <v>20</v>
      </c>
    </row>
    <row r="4" spans="1:26" x14ac:dyDescent="0.55000000000000004">
      <c r="B4" t="s">
        <v>57</v>
      </c>
      <c r="C4" t="s">
        <v>116</v>
      </c>
      <c r="D4" t="s">
        <v>94</v>
      </c>
      <c r="H4">
        <v>0</v>
      </c>
      <c r="L4" t="str">
        <f t="shared" si="0"/>
        <v>R7 350</v>
      </c>
      <c r="M4" t="str">
        <f t="shared" si="1"/>
        <v>5070</v>
      </c>
      <c r="N4">
        <v>32</v>
      </c>
      <c r="O4" t="s">
        <v>123</v>
      </c>
      <c r="P4">
        <v>1024</v>
      </c>
      <c r="Q4">
        <v>0</v>
      </c>
      <c r="R4" t="str" cm="1">
        <f t="array" ref="R4">IFERROR(
    LOOKUP(2^15, SEARCH({"16","18","14"}, D4), {"16","18","14"}),
    ""
)</f>
        <v>18</v>
      </c>
      <c r="S4">
        <v>1</v>
      </c>
      <c r="T4">
        <v>7</v>
      </c>
      <c r="Y4" t="s">
        <v>20</v>
      </c>
    </row>
    <row r="5" spans="1:26" x14ac:dyDescent="0.55000000000000004">
      <c r="B5" t="s">
        <v>50</v>
      </c>
      <c r="C5" t="s">
        <v>116</v>
      </c>
      <c r="D5" t="s">
        <v>53</v>
      </c>
      <c r="H5">
        <v>0</v>
      </c>
      <c r="L5" t="str">
        <f t="shared" si="0"/>
        <v>R7 260</v>
      </c>
      <c r="M5" t="str">
        <f t="shared" si="1"/>
        <v>5060</v>
      </c>
      <c r="N5">
        <v>16</v>
      </c>
      <c r="O5" t="s">
        <v>132</v>
      </c>
      <c r="P5">
        <v>512</v>
      </c>
      <c r="Q5">
        <v>0</v>
      </c>
      <c r="R5" t="str" cm="1">
        <f t="array" ref="R5">IFERROR(
    LOOKUP(2^15, SEARCH({"16","18","14"}, D5), {"16","18","14"}),
    ""
)</f>
        <v>16</v>
      </c>
      <c r="S5">
        <v>6</v>
      </c>
      <c r="T5">
        <v>7</v>
      </c>
      <c r="Y5" t="s">
        <v>20</v>
      </c>
    </row>
    <row r="6" spans="1:26" x14ac:dyDescent="0.55000000000000004">
      <c r="B6" t="s">
        <v>52</v>
      </c>
      <c r="C6" t="s">
        <v>116</v>
      </c>
      <c r="D6" t="s">
        <v>91</v>
      </c>
      <c r="H6">
        <v>0</v>
      </c>
      <c r="L6" t="str">
        <f t="shared" si="0"/>
        <v>U9 275HX</v>
      </c>
      <c r="M6" t="str">
        <f t="shared" si="1"/>
        <v>5060</v>
      </c>
      <c r="N6">
        <v>32</v>
      </c>
      <c r="O6" t="s">
        <v>123</v>
      </c>
      <c r="P6">
        <v>1024</v>
      </c>
      <c r="Q6">
        <v>0</v>
      </c>
      <c r="R6" t="str" cm="1">
        <f t="array" ref="R6">IFERROR(
    LOOKUP(2^15, SEARCH({"16","18","14"}, D6), {"16","18","14"}),
    ""
)</f>
        <v>16</v>
      </c>
      <c r="S6">
        <v>6</v>
      </c>
      <c r="T6">
        <v>9</v>
      </c>
      <c r="Y6" t="s">
        <v>20</v>
      </c>
    </row>
    <row r="7" spans="1:26" x14ac:dyDescent="0.55000000000000004">
      <c r="B7" t="s">
        <v>55</v>
      </c>
      <c r="C7" t="s">
        <v>116</v>
      </c>
      <c r="D7" t="s">
        <v>92</v>
      </c>
      <c r="H7">
        <v>0</v>
      </c>
      <c r="L7" t="str">
        <f t="shared" si="0"/>
        <v>U9 275HX</v>
      </c>
      <c r="M7" t="str">
        <f t="shared" si="1"/>
        <v>5070</v>
      </c>
      <c r="N7">
        <v>32</v>
      </c>
      <c r="O7" t="s">
        <v>123</v>
      </c>
      <c r="P7">
        <v>1024</v>
      </c>
      <c r="Q7">
        <v>0</v>
      </c>
      <c r="R7" t="str" cm="1">
        <f t="array" ref="R7">IFERROR(
    LOOKUP(2^15, SEARCH({"16","18","14"}, D7), {"16","18","14"}),
    ""
)</f>
        <v>16</v>
      </c>
      <c r="S7">
        <v>3</v>
      </c>
      <c r="T7">
        <v>8</v>
      </c>
      <c r="Y7" t="s">
        <v>20</v>
      </c>
    </row>
    <row r="8" spans="1:26" x14ac:dyDescent="0.55000000000000004">
      <c r="C8" t="s">
        <v>116</v>
      </c>
      <c r="D8" t="s">
        <v>102</v>
      </c>
      <c r="L8" t="str">
        <f t="shared" si="0"/>
        <v>U9 275HX</v>
      </c>
      <c r="M8" t="str">
        <f t="shared" si="1"/>
        <v>5070 Ti</v>
      </c>
      <c r="N8">
        <v>32</v>
      </c>
      <c r="O8" t="s">
        <v>123</v>
      </c>
      <c r="P8">
        <v>1024</v>
      </c>
      <c r="Q8">
        <v>0</v>
      </c>
      <c r="R8" t="str" cm="1">
        <f t="array" ref="R8">IFERROR(
    LOOKUP(2^15, SEARCH({"16","18","14"}, D8), {"16","18","14"}),
    ""
)</f>
        <v>16</v>
      </c>
      <c r="S8">
        <v>3</v>
      </c>
      <c r="T8">
        <v>8</v>
      </c>
      <c r="Y8" t="s">
        <v>20</v>
      </c>
    </row>
    <row r="9" spans="1:26" x14ac:dyDescent="0.55000000000000004">
      <c r="B9" t="s">
        <v>54</v>
      </c>
      <c r="C9" t="s">
        <v>116</v>
      </c>
      <c r="D9" t="s">
        <v>103</v>
      </c>
      <c r="H9">
        <v>0</v>
      </c>
      <c r="L9" t="str">
        <f t="shared" si="0"/>
        <v>U9 275HX</v>
      </c>
      <c r="M9" t="str">
        <f t="shared" si="1"/>
        <v>5070 Ti</v>
      </c>
      <c r="N9">
        <v>32</v>
      </c>
      <c r="O9" t="s">
        <v>123</v>
      </c>
      <c r="P9">
        <v>1024</v>
      </c>
      <c r="Q9">
        <v>0</v>
      </c>
      <c r="R9" t="str" cm="1">
        <f t="array" ref="R9">IFERROR(
    LOOKUP(2^15, SEARCH({"16","18","14"}, D9), {"16","18","14"}),
    ""
)</f>
        <v>18</v>
      </c>
      <c r="S9">
        <v>1</v>
      </c>
      <c r="T9">
        <v>8</v>
      </c>
      <c r="Y9" t="s">
        <v>20</v>
      </c>
    </row>
    <row r="10" spans="1:26" x14ac:dyDescent="0.55000000000000004">
      <c r="B10" t="s">
        <v>78</v>
      </c>
      <c r="C10" t="s">
        <v>115</v>
      </c>
      <c r="D10" t="s">
        <v>79</v>
      </c>
      <c r="H10">
        <v>0</v>
      </c>
      <c r="L10" t="str">
        <f t="shared" si="0"/>
        <v>U9 275HX</v>
      </c>
      <c r="M10" t="str">
        <f t="shared" si="1"/>
        <v>5080</v>
      </c>
      <c r="Q10">
        <v>0</v>
      </c>
      <c r="R10" t="str" cm="1">
        <f t="array" ref="R10">IFERROR(
    LOOKUP(2^15, SEARCH({"16","18","14"}, D10), {"16","18","14"}),
    ""
)</f>
        <v>16</v>
      </c>
      <c r="Y10" t="s">
        <v>20</v>
      </c>
    </row>
    <row r="11" spans="1:26" x14ac:dyDescent="0.55000000000000004">
      <c r="B11" t="s">
        <v>66</v>
      </c>
      <c r="C11" t="s">
        <v>115</v>
      </c>
      <c r="D11" t="s">
        <v>99</v>
      </c>
      <c r="H11">
        <v>0</v>
      </c>
      <c r="L11" t="str">
        <f t="shared" si="0"/>
        <v>U9 275HX</v>
      </c>
      <c r="M11" t="str">
        <f t="shared" si="1"/>
        <v>5070</v>
      </c>
      <c r="Q11">
        <v>0</v>
      </c>
      <c r="R11" t="str" cm="1">
        <f t="array" ref="R11">IFERROR(
    LOOKUP(2^15, SEARCH({"16","18","14"}, D11), {"16","18","14"}),
    ""
)</f>
        <v>18</v>
      </c>
      <c r="Y11" t="s">
        <v>20</v>
      </c>
    </row>
    <row r="12" spans="1:26" x14ac:dyDescent="0.55000000000000004">
      <c r="B12" t="s">
        <v>65</v>
      </c>
      <c r="C12" t="s">
        <v>115</v>
      </c>
      <c r="D12" t="s">
        <v>106</v>
      </c>
      <c r="H12">
        <v>0</v>
      </c>
      <c r="L12" t="str">
        <f t="shared" si="0"/>
        <v>U9 275HX</v>
      </c>
      <c r="M12" t="str">
        <f t="shared" si="1"/>
        <v>5070 Ti</v>
      </c>
      <c r="Q12">
        <v>0</v>
      </c>
      <c r="R12" t="str" cm="1">
        <f t="array" ref="R12">IFERROR(
    LOOKUP(2^15, SEARCH({"16","18","14"}, D12), {"16","18","14"}),
    ""
)</f>
        <v>18</v>
      </c>
      <c r="Y12" t="s">
        <v>20</v>
      </c>
    </row>
    <row r="13" spans="1:26" x14ac:dyDescent="0.55000000000000004">
      <c r="B13" s="1" t="s">
        <v>30</v>
      </c>
      <c r="C13" t="s">
        <v>115</v>
      </c>
      <c r="D13" t="s">
        <v>31</v>
      </c>
      <c r="E13" t="s">
        <v>37</v>
      </c>
      <c r="F13">
        <v>1</v>
      </c>
      <c r="H13">
        <v>0</v>
      </c>
      <c r="L13" t="str">
        <f t="shared" si="0"/>
        <v>R7 260</v>
      </c>
      <c r="M13" t="str">
        <f t="shared" si="1"/>
        <v>5060</v>
      </c>
      <c r="Q13">
        <v>0</v>
      </c>
      <c r="R13" t="str" cm="1">
        <f t="array" ref="R13">IFERROR(
    LOOKUP(2^15, SEARCH({"16","18","14"}, D13), {"16","18","14"}),
    ""
)</f>
        <v>14</v>
      </c>
      <c r="Y13" t="s">
        <v>20</v>
      </c>
    </row>
    <row r="14" spans="1:26" x14ac:dyDescent="0.55000000000000004">
      <c r="B14" t="s">
        <v>34</v>
      </c>
      <c r="C14" t="s">
        <v>115</v>
      </c>
      <c r="D14" t="s">
        <v>31</v>
      </c>
      <c r="E14" t="s">
        <v>36</v>
      </c>
      <c r="F14">
        <v>2</v>
      </c>
      <c r="H14">
        <v>0</v>
      </c>
      <c r="L14" t="str">
        <f t="shared" si="0"/>
        <v>R7 260</v>
      </c>
      <c r="M14" t="str">
        <f t="shared" si="1"/>
        <v>5060</v>
      </c>
      <c r="Q14">
        <v>0</v>
      </c>
      <c r="R14" t="str" cm="1">
        <f t="array" ref="R14">IFERROR(
    LOOKUP(2^15, SEARCH({"16","18","14"}, D14), {"16","18","14"}),
    ""
)</f>
        <v>14</v>
      </c>
      <c r="Y14" t="s">
        <v>20</v>
      </c>
    </row>
    <row r="15" spans="1:26" x14ac:dyDescent="0.55000000000000004">
      <c r="B15" t="s">
        <v>32</v>
      </c>
      <c r="C15" t="s">
        <v>115</v>
      </c>
      <c r="D15" t="s">
        <v>33</v>
      </c>
      <c r="H15">
        <v>0</v>
      </c>
      <c r="L15" t="str">
        <f t="shared" si="0"/>
        <v>R7 350</v>
      </c>
      <c r="M15" t="str">
        <f t="shared" si="1"/>
        <v>5060</v>
      </c>
      <c r="Q15">
        <v>0</v>
      </c>
      <c r="R15" t="str" cm="1">
        <f t="array" ref="R15">IFERROR(
    LOOKUP(2^15, SEARCH({"16","18","14"}, D15), {"16","18","14"}),
    ""
)</f>
        <v>14</v>
      </c>
      <c r="Y15" t="s">
        <v>20</v>
      </c>
    </row>
    <row r="16" spans="1:26" x14ac:dyDescent="0.55000000000000004">
      <c r="B16" t="s">
        <v>41</v>
      </c>
      <c r="C16" t="s">
        <v>115</v>
      </c>
      <c r="D16" t="s">
        <v>42</v>
      </c>
      <c r="H16">
        <v>0</v>
      </c>
      <c r="L16" t="str">
        <f t="shared" si="0"/>
        <v>R7 260</v>
      </c>
      <c r="M16" t="str">
        <f t="shared" si="1"/>
        <v>5050</v>
      </c>
      <c r="Q16">
        <v>0</v>
      </c>
      <c r="R16" t="str" cm="1">
        <f t="array" ref="R16">IFERROR(
    LOOKUP(2^15, SEARCH({"16","18","14"}, D16), {"16","18","14"}),
    ""
)</f>
        <v>16</v>
      </c>
      <c r="Y16" t="s">
        <v>20</v>
      </c>
    </row>
    <row r="17" spans="2:25" x14ac:dyDescent="0.55000000000000004">
      <c r="B17" t="s">
        <v>38</v>
      </c>
      <c r="C17" t="s">
        <v>115</v>
      </c>
      <c r="D17" t="s">
        <v>39</v>
      </c>
      <c r="H17">
        <v>0</v>
      </c>
      <c r="L17" t="str">
        <f t="shared" si="0"/>
        <v>R7 260</v>
      </c>
      <c r="M17" t="str">
        <f t="shared" si="1"/>
        <v>5060</v>
      </c>
      <c r="Q17">
        <v>0</v>
      </c>
      <c r="R17" t="str" cm="1">
        <f t="array" ref="R17">IFERROR(
    LOOKUP(2^15, SEARCH({"16","18","14"}, D17), {"16","18","14"}),
    ""
)</f>
        <v>16</v>
      </c>
      <c r="Y17" t="s">
        <v>20</v>
      </c>
    </row>
    <row r="18" spans="2:25" x14ac:dyDescent="0.55000000000000004">
      <c r="B18" t="s">
        <v>40</v>
      </c>
      <c r="C18" t="s">
        <v>115</v>
      </c>
      <c r="D18" t="s">
        <v>83</v>
      </c>
      <c r="H18">
        <v>0</v>
      </c>
      <c r="L18" t="str">
        <f t="shared" si="0"/>
        <v>R7 260</v>
      </c>
      <c r="M18" t="str">
        <f t="shared" si="1"/>
        <v>5060</v>
      </c>
      <c r="Q18">
        <v>0</v>
      </c>
      <c r="R18" t="str" cm="1">
        <f t="array" ref="R18">IFERROR(
    LOOKUP(2^15, SEARCH({"16","18","14"}, D18), {"16","18","14"}),
    ""
)</f>
        <v>16</v>
      </c>
      <c r="Y18" t="s">
        <v>20</v>
      </c>
    </row>
    <row r="19" spans="2:25" x14ac:dyDescent="0.55000000000000004">
      <c r="B19" t="s">
        <v>43</v>
      </c>
      <c r="C19" t="s">
        <v>115</v>
      </c>
      <c r="D19" t="s">
        <v>46</v>
      </c>
      <c r="H19">
        <v>0</v>
      </c>
      <c r="L19" t="str">
        <f t="shared" si="0"/>
        <v>R9 8940HX</v>
      </c>
      <c r="M19" t="str">
        <f t="shared" si="1"/>
        <v>5070</v>
      </c>
      <c r="Q19">
        <v>0</v>
      </c>
      <c r="R19" t="str" cm="1">
        <f t="array" ref="R19">IFERROR(
    LOOKUP(2^15, SEARCH({"16","18","14"}, D19), {"16","18","14"}),
    ""
)</f>
        <v>16</v>
      </c>
      <c r="Y19" t="s">
        <v>20</v>
      </c>
    </row>
    <row r="20" spans="2:25" x14ac:dyDescent="0.55000000000000004">
      <c r="B20" t="s">
        <v>48</v>
      </c>
      <c r="C20" t="s">
        <v>115</v>
      </c>
      <c r="D20" t="s">
        <v>87</v>
      </c>
      <c r="H20">
        <v>0</v>
      </c>
      <c r="L20" t="str">
        <f t="shared" si="0"/>
        <v>R7 260</v>
      </c>
      <c r="M20" t="str">
        <f t="shared" si="1"/>
        <v>5050</v>
      </c>
      <c r="Q20">
        <v>0</v>
      </c>
      <c r="R20" t="str" cm="1">
        <f t="array" ref="R20">IFERROR(
    LOOKUP(2^15, SEARCH({"16","18","14"}, D20), {"16","18","14"}),
    ""
)</f>
        <v>18</v>
      </c>
      <c r="Y20" t="s">
        <v>20</v>
      </c>
    </row>
    <row r="21" spans="2:25" x14ac:dyDescent="0.55000000000000004">
      <c r="B21" t="s">
        <v>49</v>
      </c>
      <c r="C21" t="s">
        <v>115</v>
      </c>
      <c r="D21" t="s">
        <v>88</v>
      </c>
      <c r="H21">
        <v>0</v>
      </c>
      <c r="L21" t="str">
        <f t="shared" si="0"/>
        <v>R7 260</v>
      </c>
      <c r="M21" t="str">
        <f t="shared" si="1"/>
        <v>5060</v>
      </c>
      <c r="Q21">
        <v>0</v>
      </c>
      <c r="R21" t="str" cm="1">
        <f t="array" ref="R21">IFERROR(
    LOOKUP(2^15, SEARCH({"16","18","14"}, D21), {"16","18","14"}),
    ""
)</f>
        <v>18</v>
      </c>
      <c r="Y21" t="s">
        <v>20</v>
      </c>
    </row>
    <row r="22" spans="2:25" x14ac:dyDescent="0.55000000000000004">
      <c r="B22" s="1" t="s">
        <v>113</v>
      </c>
      <c r="C22" t="s">
        <v>115</v>
      </c>
      <c r="D22" t="s">
        <v>89</v>
      </c>
      <c r="H22">
        <v>0</v>
      </c>
      <c r="L22" t="str">
        <f t="shared" si="0"/>
        <v>R7 260</v>
      </c>
      <c r="M22" t="str">
        <f t="shared" si="1"/>
        <v>5070</v>
      </c>
      <c r="Q22">
        <v>0</v>
      </c>
      <c r="R22" t="str" cm="1">
        <f t="array" ref="R22">IFERROR(
    LOOKUP(2^15, SEARCH({"16","18","14"}, D22), {"16","18","14"}),
    ""
)</f>
        <v>18</v>
      </c>
      <c r="Y22" t="s">
        <v>20</v>
      </c>
    </row>
    <row r="23" spans="2:25" x14ac:dyDescent="0.55000000000000004">
      <c r="B23" t="s">
        <v>47</v>
      </c>
      <c r="C23" t="s">
        <v>115</v>
      </c>
      <c r="D23" t="s">
        <v>86</v>
      </c>
      <c r="H23">
        <v>0</v>
      </c>
      <c r="L23" t="str">
        <f t="shared" si="0"/>
        <v>I5 14450HX</v>
      </c>
      <c r="M23" t="str">
        <f t="shared" si="1"/>
        <v>5050</v>
      </c>
      <c r="Q23">
        <v>0</v>
      </c>
      <c r="R23" t="str" cm="1">
        <f t="array" ref="R23">IFERROR(
    LOOKUP(2^15, SEARCH({"16","18","14"}, D23), {"16","18","14"}),
    ""
)</f>
        <v>14</v>
      </c>
      <c r="Y23" t="s">
        <v>20</v>
      </c>
    </row>
    <row r="24" spans="2:25" x14ac:dyDescent="0.55000000000000004">
      <c r="B24" t="s">
        <v>44</v>
      </c>
      <c r="C24" t="s">
        <v>115</v>
      </c>
      <c r="D24" t="s">
        <v>84</v>
      </c>
      <c r="H24">
        <v>0</v>
      </c>
      <c r="L24" t="str">
        <f t="shared" si="0"/>
        <v>I7 14650HX</v>
      </c>
      <c r="M24" t="str">
        <f t="shared" si="1"/>
        <v>5060</v>
      </c>
      <c r="Q24">
        <v>0</v>
      </c>
      <c r="R24" t="str" cm="1">
        <f t="array" ref="R24">IFERROR(
    LOOKUP(2^15, SEARCH({"16","18","14"}, D24), {"16","18","14"}),
    ""
)</f>
        <v>14</v>
      </c>
      <c r="Y24" t="s">
        <v>16</v>
      </c>
    </row>
    <row r="25" spans="2:25" x14ac:dyDescent="0.55000000000000004">
      <c r="B25" t="s">
        <v>45</v>
      </c>
      <c r="C25" t="s">
        <v>115</v>
      </c>
      <c r="D25" t="s">
        <v>85</v>
      </c>
      <c r="H25">
        <v>0</v>
      </c>
      <c r="L25" t="str">
        <f t="shared" si="0"/>
        <v>I7 14650HX</v>
      </c>
      <c r="M25" t="str">
        <f t="shared" si="1"/>
        <v>5070</v>
      </c>
      <c r="Q25">
        <v>0</v>
      </c>
      <c r="R25" t="str" cm="1">
        <f t="array" ref="R25">IFERROR(
    LOOKUP(2^15, SEARCH({"16","18","14"}, D25), {"16","18","14"}),
    ""
)</f>
        <v>14</v>
      </c>
      <c r="Y25" t="s">
        <v>16</v>
      </c>
    </row>
    <row r="26" spans="2:25" x14ac:dyDescent="0.55000000000000004">
      <c r="B26" t="s">
        <v>58</v>
      </c>
      <c r="C26" t="s">
        <v>115</v>
      </c>
      <c r="D26" t="s">
        <v>133</v>
      </c>
      <c r="F26">
        <v>1</v>
      </c>
      <c r="H26">
        <v>0</v>
      </c>
      <c r="L26" t="str">
        <f t="shared" si="0"/>
        <v>R9 9955HX3D</v>
      </c>
      <c r="M26" t="str">
        <f t="shared" si="1"/>
        <v>5070 Ti</v>
      </c>
      <c r="Q26">
        <v>0</v>
      </c>
      <c r="R26" t="str" cm="1">
        <f t="array" ref="R26">IFERROR(
    LOOKUP(2^15, SEARCH({"16","18","14"}, D26), {"16","18","14"}),
    ""
)</f>
        <v>16</v>
      </c>
      <c r="Y26" t="s">
        <v>122</v>
      </c>
    </row>
    <row r="27" spans="2:25" x14ac:dyDescent="0.55000000000000004">
      <c r="B27" t="s">
        <v>59</v>
      </c>
      <c r="C27" t="s">
        <v>115</v>
      </c>
      <c r="D27" t="s">
        <v>133</v>
      </c>
      <c r="E27" t="s">
        <v>60</v>
      </c>
      <c r="F27">
        <v>2</v>
      </c>
      <c r="H27">
        <v>0</v>
      </c>
      <c r="L27" t="str">
        <f t="shared" si="0"/>
        <v>R9 9955HX3D</v>
      </c>
      <c r="M27" t="str">
        <f t="shared" si="1"/>
        <v>5070 Ti</v>
      </c>
      <c r="Q27">
        <v>1</v>
      </c>
      <c r="R27" t="str" cm="1">
        <f t="array" ref="R27">IFERROR(
    LOOKUP(2^15, SEARCH({"16","18","14"}, D27), {"16","18","14"}),
    ""
)</f>
        <v>16</v>
      </c>
      <c r="Y27" t="s">
        <v>16</v>
      </c>
    </row>
    <row r="28" spans="2:25" x14ac:dyDescent="0.55000000000000004">
      <c r="B28" s="1" t="s">
        <v>110</v>
      </c>
      <c r="C28" t="s">
        <v>119</v>
      </c>
      <c r="D28" t="s">
        <v>95</v>
      </c>
      <c r="H28">
        <v>0</v>
      </c>
      <c r="L28" t="str">
        <f t="shared" si="0"/>
        <v>I5 13500HX</v>
      </c>
      <c r="M28" t="str">
        <f t="shared" si="1"/>
        <v>4060</v>
      </c>
      <c r="Q28">
        <v>0</v>
      </c>
      <c r="R28" t="str" cm="1">
        <f t="array" ref="R28">IFERROR(
    LOOKUP(2^15, SEARCH({"16","18","14"}, D28), {"16","18","14"}),
    ""
)</f>
        <v>16</v>
      </c>
      <c r="Y28" t="s">
        <v>16</v>
      </c>
    </row>
    <row r="29" spans="2:25" x14ac:dyDescent="0.55000000000000004">
      <c r="B29" s="1" t="s">
        <v>111</v>
      </c>
      <c r="C29" t="s">
        <v>119</v>
      </c>
      <c r="D29" t="s">
        <v>96</v>
      </c>
      <c r="H29">
        <v>0</v>
      </c>
      <c r="L29" t="str">
        <f t="shared" si="0"/>
        <v>I5 14450HX</v>
      </c>
      <c r="M29" t="str">
        <f t="shared" si="1"/>
        <v>4060</v>
      </c>
      <c r="Q29">
        <v>0</v>
      </c>
      <c r="R29" t="str" cm="1">
        <f t="array" ref="R29">IFERROR(
    LOOKUP(2^15, SEARCH({"16","18","14"}, D29), {"16","18","14"}),
    ""
)</f>
        <v>14</v>
      </c>
      <c r="Y29" t="s">
        <v>16</v>
      </c>
    </row>
    <row r="30" spans="2:25" x14ac:dyDescent="0.55000000000000004">
      <c r="B30" t="s">
        <v>73</v>
      </c>
      <c r="C30" t="s">
        <v>119</v>
      </c>
      <c r="D30" t="s">
        <v>100</v>
      </c>
      <c r="H30">
        <v>0</v>
      </c>
      <c r="L30" t="str">
        <f t="shared" si="0"/>
        <v>I5 14450HX</v>
      </c>
      <c r="M30" t="str">
        <f t="shared" si="1"/>
        <v>5060</v>
      </c>
      <c r="Q30">
        <v>0</v>
      </c>
      <c r="R30" t="str" cm="1">
        <f t="array" ref="R30">IFERROR(
    LOOKUP(2^15, SEARCH({"16","18","14"}, D30), {"16","18","14"}),
    ""
)</f>
        <v>14</v>
      </c>
      <c r="Y30" t="s">
        <v>16</v>
      </c>
    </row>
    <row r="31" spans="2:25" x14ac:dyDescent="0.55000000000000004">
      <c r="B31" t="s">
        <v>109</v>
      </c>
      <c r="C31" t="s">
        <v>119</v>
      </c>
      <c r="D31" t="s">
        <v>25</v>
      </c>
      <c r="H31">
        <v>0</v>
      </c>
      <c r="L31" t="str">
        <f t="shared" si="0"/>
        <v>R7 350</v>
      </c>
      <c r="M31" t="str">
        <f t="shared" si="1"/>
        <v>5060</v>
      </c>
      <c r="Q31">
        <v>0</v>
      </c>
      <c r="R31" t="str" cm="1">
        <f t="array" ref="R31">IFERROR(
    LOOKUP(2^15, SEARCH({"16","18","14"}, D31), {"16","18","14"}),
    ""
)</f>
        <v>16</v>
      </c>
      <c r="Y31" t="s">
        <v>16</v>
      </c>
    </row>
    <row r="32" spans="2:25" x14ac:dyDescent="0.55000000000000004">
      <c r="B32" s="1" t="s">
        <v>28</v>
      </c>
      <c r="C32" t="s">
        <v>119</v>
      </c>
      <c r="D32" t="s">
        <v>29</v>
      </c>
      <c r="H32">
        <v>0</v>
      </c>
      <c r="L32" t="str">
        <f t="shared" si="0"/>
        <v>R9 8940HX</v>
      </c>
      <c r="M32" t="str">
        <f t="shared" si="1"/>
        <v>5060</v>
      </c>
      <c r="Q32">
        <v>0</v>
      </c>
      <c r="R32" t="str" cm="1">
        <f t="array" ref="R32">IFERROR(
    LOOKUP(2^15, SEARCH({"16","18","14"}, D32), {"16","18","14"}),
    ""
)</f>
        <v>16</v>
      </c>
      <c r="Y32" t="s">
        <v>16</v>
      </c>
    </row>
    <row r="33" spans="2:25" x14ac:dyDescent="0.55000000000000004">
      <c r="B33" s="1" t="s">
        <v>27</v>
      </c>
      <c r="C33" t="s">
        <v>119</v>
      </c>
      <c r="D33" t="s">
        <v>26</v>
      </c>
      <c r="H33">
        <v>0</v>
      </c>
      <c r="L33" t="str">
        <f t="shared" si="0"/>
        <v>U5 255H</v>
      </c>
      <c r="M33" t="str">
        <f t="shared" si="1"/>
        <v>5060</v>
      </c>
      <c r="Q33">
        <v>0</v>
      </c>
      <c r="R33" t="str" cm="1">
        <f t="array" ref="R33">IFERROR(
    LOOKUP(2^15, SEARCH({"16","18","14"}, D33), {"16","18","14"}),
    ""
)</f>
        <v>16</v>
      </c>
      <c r="Y33" t="s">
        <v>16</v>
      </c>
    </row>
    <row r="34" spans="2:25" x14ac:dyDescent="0.55000000000000004">
      <c r="B34" t="s">
        <v>76</v>
      </c>
      <c r="C34" t="s">
        <v>119</v>
      </c>
      <c r="D34" t="s">
        <v>77</v>
      </c>
      <c r="H34">
        <v>0</v>
      </c>
      <c r="L34" t="str">
        <f t="shared" si="0"/>
        <v>R7 350</v>
      </c>
      <c r="M34" t="str">
        <f t="shared" si="1"/>
        <v>5060</v>
      </c>
      <c r="Q34">
        <v>0</v>
      </c>
      <c r="R34" t="str" cm="1">
        <f t="array" ref="R34">IFERROR(
    LOOKUP(2^15, SEARCH({"16","18","14"}, D34), {"16","18","14"}),
    ""
)</f>
        <v/>
      </c>
      <c r="Y34" t="s">
        <v>16</v>
      </c>
    </row>
    <row r="35" spans="2:25" x14ac:dyDescent="0.55000000000000004">
      <c r="B35" t="s">
        <v>76</v>
      </c>
      <c r="C35" t="s">
        <v>119</v>
      </c>
      <c r="D35" t="s">
        <v>77</v>
      </c>
      <c r="H35">
        <v>0</v>
      </c>
      <c r="L35" t="str">
        <f t="shared" si="0"/>
        <v>R7 350</v>
      </c>
      <c r="M35" t="str">
        <f t="shared" si="1"/>
        <v>5060</v>
      </c>
      <c r="Q35">
        <v>0</v>
      </c>
      <c r="R35" t="str" cm="1">
        <f t="array" ref="R35">IFERROR(
    LOOKUP(2^15, SEARCH({"16","18","14"}, D35), {"16","18","14"}),
    ""
)</f>
        <v/>
      </c>
      <c r="Y35" t="s">
        <v>16</v>
      </c>
    </row>
    <row r="36" spans="2:25" x14ac:dyDescent="0.55000000000000004">
      <c r="B36" t="s">
        <v>71</v>
      </c>
      <c r="C36" t="s">
        <v>119</v>
      </c>
      <c r="D36" t="s">
        <v>72</v>
      </c>
      <c r="H36">
        <v>0</v>
      </c>
      <c r="L36" t="str">
        <f t="shared" si="0"/>
        <v>255HX</v>
      </c>
      <c r="M36" t="str">
        <f t="shared" si="1"/>
        <v>5060</v>
      </c>
      <c r="Q36">
        <v>1</v>
      </c>
      <c r="R36" t="str" cm="1">
        <f t="array" ref="R36">IFERROR(
    LOOKUP(2^15, SEARCH({"16","18","14"}, D36), {"16","18","14"}),
    ""
)</f>
        <v>16</v>
      </c>
      <c r="Y36" t="s">
        <v>16</v>
      </c>
    </row>
    <row r="37" spans="2:25" x14ac:dyDescent="0.55000000000000004">
      <c r="B37" s="1" t="s">
        <v>124</v>
      </c>
      <c r="C37" t="s">
        <v>119</v>
      </c>
      <c r="D37" t="s">
        <v>69</v>
      </c>
      <c r="H37">
        <v>0</v>
      </c>
      <c r="L37" t="str">
        <f t="shared" si="0"/>
        <v>R7 350</v>
      </c>
      <c r="M37" t="str">
        <f t="shared" si="1"/>
        <v>5070 Ti</v>
      </c>
      <c r="Q37">
        <v>1</v>
      </c>
      <c r="R37" t="str" cm="1">
        <f t="array" ref="R37">IFERROR(
    LOOKUP(2^15, SEARCH({"16","18","14"}, D37), {"16","18","14"}),
    ""
)</f>
        <v>16</v>
      </c>
      <c r="Y37" t="s">
        <v>16</v>
      </c>
    </row>
    <row r="38" spans="2:25" x14ac:dyDescent="0.55000000000000004">
      <c r="B38" s="1" t="s">
        <v>125</v>
      </c>
      <c r="C38" t="s">
        <v>119</v>
      </c>
      <c r="D38" t="s">
        <v>67</v>
      </c>
      <c r="H38">
        <v>0</v>
      </c>
      <c r="L38" t="str">
        <f t="shared" si="0"/>
        <v>R9 375HX</v>
      </c>
      <c r="M38" t="str">
        <f t="shared" si="1"/>
        <v>5060</v>
      </c>
      <c r="Q38">
        <v>1</v>
      </c>
      <c r="R38" t="str" cm="1">
        <f t="array" ref="R38">IFERROR(
    LOOKUP(2^15, SEARCH({"16","18","14"}, D38), {"16","18","14"}),
    ""
)</f>
        <v>16</v>
      </c>
      <c r="Y38" t="s">
        <v>16</v>
      </c>
    </row>
    <row r="39" spans="2:25" x14ac:dyDescent="0.55000000000000004">
      <c r="B39" s="1" t="s">
        <v>126</v>
      </c>
      <c r="C39" t="s">
        <v>119</v>
      </c>
      <c r="D39" t="s">
        <v>80</v>
      </c>
      <c r="H39">
        <v>0</v>
      </c>
      <c r="L39" t="str">
        <f t="shared" si="0"/>
        <v>R9 375HX</v>
      </c>
      <c r="M39" t="str">
        <f t="shared" si="1"/>
        <v>5080</v>
      </c>
      <c r="Q39">
        <v>1</v>
      </c>
      <c r="R39" t="str" cm="1">
        <f t="array" ref="R39">IFERROR(
    LOOKUP(2^15, SEARCH({"16","18","14"}, D39), {"16","18","14"}),
    ""
)</f>
        <v>16</v>
      </c>
      <c r="Y39" t="s">
        <v>16</v>
      </c>
    </row>
    <row r="40" spans="2:25" x14ac:dyDescent="0.55000000000000004">
      <c r="B40" s="1" t="s">
        <v>127</v>
      </c>
      <c r="C40" t="s">
        <v>119</v>
      </c>
      <c r="D40" t="s">
        <v>68</v>
      </c>
      <c r="H40">
        <v>0</v>
      </c>
      <c r="L40" t="str">
        <f t="shared" si="0"/>
        <v>U9 275HX</v>
      </c>
      <c r="M40" t="str">
        <f t="shared" si="1"/>
        <v>5070</v>
      </c>
      <c r="Q40">
        <v>1</v>
      </c>
      <c r="R40" t="str" cm="1">
        <f t="array" ref="R40">IFERROR(
    LOOKUP(2^15, SEARCH({"16","18","14"}, D40), {"16","18","14"}),
    ""
)</f>
        <v>16</v>
      </c>
      <c r="Y40" t="s">
        <v>16</v>
      </c>
    </row>
    <row r="41" spans="2:25" x14ac:dyDescent="0.55000000000000004">
      <c r="B41" s="1" t="s">
        <v>128</v>
      </c>
      <c r="C41" t="s">
        <v>119</v>
      </c>
      <c r="D41" t="s">
        <v>70</v>
      </c>
      <c r="H41">
        <v>0</v>
      </c>
      <c r="L41" t="str">
        <f t="shared" si="0"/>
        <v>U9 275HX</v>
      </c>
      <c r="M41" t="str">
        <f t="shared" si="1"/>
        <v>5070 Ti</v>
      </c>
      <c r="Q41">
        <v>1</v>
      </c>
      <c r="R41" t="str" cm="1">
        <f t="array" ref="R41">IFERROR(
    LOOKUP(2^15, SEARCH({"16","18","14"}, D41), {"16","18","14"}),
    ""
)</f>
        <v>16</v>
      </c>
      <c r="Y41" t="s">
        <v>16</v>
      </c>
    </row>
    <row r="42" spans="2:25" x14ac:dyDescent="0.55000000000000004">
      <c r="B42" t="s">
        <v>19</v>
      </c>
      <c r="C42" t="s">
        <v>118</v>
      </c>
      <c r="D42" t="s">
        <v>21</v>
      </c>
      <c r="H42">
        <v>0</v>
      </c>
      <c r="L42" t="str">
        <f t="shared" si="0"/>
        <v>R7 250</v>
      </c>
      <c r="M42" t="str">
        <f t="shared" si="1"/>
        <v>5060</v>
      </c>
      <c r="N42">
        <v>16</v>
      </c>
      <c r="O42" t="s">
        <v>35</v>
      </c>
      <c r="P42">
        <v>512</v>
      </c>
      <c r="Q42">
        <v>0</v>
      </c>
      <c r="R42" t="str" cm="1">
        <f t="array" ref="R42">IFERROR(
    LOOKUP(2^15, SEARCH({"16","18","14"}, D42), {"16","18","14"}),
    ""
)</f>
        <v/>
      </c>
      <c r="Y42" t="s">
        <v>16</v>
      </c>
    </row>
    <row r="43" spans="2:25" x14ac:dyDescent="0.55000000000000004">
      <c r="B43" s="2"/>
      <c r="C43" t="s">
        <v>118</v>
      </c>
      <c r="D43" t="s">
        <v>23</v>
      </c>
      <c r="H43">
        <v>0</v>
      </c>
      <c r="L43" t="str">
        <f t="shared" si="0"/>
        <v>R7 260</v>
      </c>
      <c r="M43" t="str">
        <f t="shared" si="1"/>
        <v>5060</v>
      </c>
      <c r="Q43">
        <v>0</v>
      </c>
      <c r="R43" t="str" cm="1">
        <f t="array" ref="R43">IFERROR(
    LOOKUP(2^15, SEARCH({"16","18","14"}, D43), {"16","18","14"}),
    ""
)</f>
        <v/>
      </c>
      <c r="Y43" t="s">
        <v>16</v>
      </c>
    </row>
    <row r="44" spans="2:25" x14ac:dyDescent="0.55000000000000004">
      <c r="B44" s="1"/>
      <c r="C44" t="s">
        <v>118</v>
      </c>
      <c r="D44" t="s">
        <v>24</v>
      </c>
      <c r="H44">
        <v>0</v>
      </c>
      <c r="L44" t="str">
        <f t="shared" si="0"/>
        <v>R7 350</v>
      </c>
      <c r="M44" t="str">
        <f t="shared" si="1"/>
        <v>5070</v>
      </c>
      <c r="Q44">
        <v>0</v>
      </c>
      <c r="R44" t="str" cm="1">
        <f t="array" ref="R44">IFERROR(
    LOOKUP(2^15, SEARCH({"16","18","14"}, D44), {"16","18","14"}),
    ""
)</f>
        <v/>
      </c>
      <c r="Y44" t="s">
        <v>16</v>
      </c>
    </row>
    <row r="45" spans="2:25" x14ac:dyDescent="0.55000000000000004">
      <c r="B45" t="s">
        <v>63</v>
      </c>
      <c r="C45" t="s">
        <v>118</v>
      </c>
      <c r="D45" t="s">
        <v>98</v>
      </c>
      <c r="H45">
        <v>0</v>
      </c>
      <c r="L45" t="str">
        <f t="shared" si="0"/>
        <v>U9 275HX</v>
      </c>
      <c r="M45" t="str">
        <f t="shared" si="1"/>
        <v>5070</v>
      </c>
      <c r="Q45">
        <v>0</v>
      </c>
      <c r="R45" t="str" cm="1">
        <f t="array" ref="R45">IFERROR(
    LOOKUP(2^15, SEARCH({"16","18","14"}, D45), {"16","18","14"}),
    ""
)</f>
        <v>16</v>
      </c>
      <c r="Y45" t="s">
        <v>16</v>
      </c>
    </row>
    <row r="46" spans="2:25" x14ac:dyDescent="0.55000000000000004">
      <c r="B46" t="s">
        <v>61</v>
      </c>
      <c r="C46" t="s">
        <v>118</v>
      </c>
      <c r="D46" t="s">
        <v>104</v>
      </c>
      <c r="H46">
        <v>0</v>
      </c>
      <c r="L46" t="str">
        <f t="shared" si="0"/>
        <v>U9 275HX</v>
      </c>
      <c r="M46" t="str">
        <f t="shared" si="1"/>
        <v>5070 Ti</v>
      </c>
      <c r="Q46">
        <v>0</v>
      </c>
      <c r="R46" t="str" cm="1">
        <f t="array" ref="R46">IFERROR(
    LOOKUP(2^15, SEARCH({"16","18","14"}, D46), {"16","18","14"}),
    ""
)</f>
        <v>16</v>
      </c>
      <c r="Y46" t="s">
        <v>16</v>
      </c>
    </row>
    <row r="47" spans="2:25" x14ac:dyDescent="0.55000000000000004">
      <c r="B47" t="s">
        <v>62</v>
      </c>
      <c r="C47" t="s">
        <v>118</v>
      </c>
      <c r="D47" t="s">
        <v>121</v>
      </c>
      <c r="H47">
        <v>0</v>
      </c>
      <c r="L47" t="str">
        <f t="shared" si="0"/>
        <v>U9 275HX</v>
      </c>
      <c r="M47" t="str">
        <f t="shared" si="1"/>
        <v>5070</v>
      </c>
      <c r="Q47">
        <v>0</v>
      </c>
      <c r="R47" t="str" cm="1">
        <f t="array" ref="R47">IFERROR(
    LOOKUP(2^15, SEARCH({"16","18","14"}, D47), {"16","18","14"}),
    ""
)</f>
        <v>16</v>
      </c>
      <c r="Y47" t="s">
        <v>16</v>
      </c>
    </row>
    <row r="48" spans="2:25" x14ac:dyDescent="0.55000000000000004">
      <c r="B48" t="s">
        <v>82</v>
      </c>
      <c r="C48" t="s">
        <v>118</v>
      </c>
      <c r="D48" t="s">
        <v>120</v>
      </c>
      <c r="H48">
        <v>0</v>
      </c>
      <c r="L48" t="str">
        <f t="shared" si="0"/>
        <v>U9 275HX</v>
      </c>
      <c r="M48" t="str">
        <f t="shared" si="1"/>
        <v>5080</v>
      </c>
      <c r="Q48">
        <v>0</v>
      </c>
      <c r="R48" t="str" cm="1">
        <f t="array" ref="R48">IFERROR(
    LOOKUP(2^15, SEARCH({"16","18","14"}, D48), {"16","18","14"}),
    ""
)</f>
        <v>16</v>
      </c>
      <c r="Y48" t="s">
        <v>16</v>
      </c>
    </row>
    <row r="49" spans="2:25" x14ac:dyDescent="0.55000000000000004">
      <c r="B49" t="s">
        <v>64</v>
      </c>
      <c r="C49" t="s">
        <v>118</v>
      </c>
      <c r="D49" t="s">
        <v>105</v>
      </c>
      <c r="H49">
        <v>0</v>
      </c>
      <c r="L49" t="str">
        <f t="shared" si="0"/>
        <v>U9 275HX</v>
      </c>
      <c r="M49" t="str">
        <f t="shared" si="1"/>
        <v>5070 Ti</v>
      </c>
      <c r="Q49">
        <v>0</v>
      </c>
      <c r="R49" t="str" cm="1">
        <f t="array" ref="R49">IFERROR(
    LOOKUP(2^15, SEARCH({"16","18","14"}, D49), {"16","18","14"}),
    ""
)</f>
        <v>16</v>
      </c>
      <c r="Y49" t="s">
        <v>16</v>
      </c>
    </row>
    <row r="50" spans="2:25" x14ac:dyDescent="0.55000000000000004">
      <c r="B50" s="1" t="s">
        <v>114</v>
      </c>
      <c r="C50" t="s">
        <v>117</v>
      </c>
      <c r="D50" t="s">
        <v>81</v>
      </c>
      <c r="H50">
        <v>0</v>
      </c>
      <c r="L50" t="str">
        <f t="shared" si="0"/>
        <v>R9 9955HX</v>
      </c>
      <c r="M50" t="str">
        <f t="shared" si="1"/>
        <v>5080</v>
      </c>
      <c r="Q50">
        <v>0</v>
      </c>
      <c r="R50" t="str" cm="1">
        <f t="array" ref="R50">IFERROR(
    LOOKUP(2^15, SEARCH({"16","18","14"}, D50), {"16","18","14"}),
    ""
)</f>
        <v>18</v>
      </c>
      <c r="Y50" t="s">
        <v>16</v>
      </c>
    </row>
    <row r="51" spans="2:25" x14ac:dyDescent="0.55000000000000004">
      <c r="B51" t="s">
        <v>75</v>
      </c>
      <c r="C51" t="s">
        <v>117</v>
      </c>
      <c r="D51" t="s">
        <v>107</v>
      </c>
      <c r="H51">
        <v>0</v>
      </c>
      <c r="L51" t="str">
        <f t="shared" si="0"/>
        <v>U7 275HX</v>
      </c>
      <c r="M51" t="str">
        <f t="shared" si="1"/>
        <v>5070 Ti</v>
      </c>
      <c r="Q51">
        <v>0</v>
      </c>
      <c r="R51" t="str" cm="1">
        <f t="array" ref="R51">IFERROR(
    LOOKUP(2^15, SEARCH({"16","18","14"}, D51), {"16","18","14"}),
    ""
)</f>
        <v>16</v>
      </c>
      <c r="Y51" t="s">
        <v>16</v>
      </c>
    </row>
    <row r="52" spans="2:25" x14ac:dyDescent="0.55000000000000004">
      <c r="B52" t="s">
        <v>74</v>
      </c>
      <c r="C52" t="s">
        <v>117</v>
      </c>
      <c r="D52" t="s">
        <v>101</v>
      </c>
      <c r="H52">
        <v>0</v>
      </c>
      <c r="L52" t="str">
        <f t="shared" si="0"/>
        <v>U7 275HX</v>
      </c>
      <c r="M52" t="str">
        <f t="shared" si="1"/>
        <v>5080</v>
      </c>
      <c r="Q52">
        <v>0</v>
      </c>
      <c r="R52" t="str" cm="1">
        <f t="array" ref="R52">IFERROR(
    LOOKUP(2^15, SEARCH({"16","18","14"}, D52), {"16","18","14"}),
    ""
)</f>
        <v>16</v>
      </c>
      <c r="Y52" t="s">
        <v>16</v>
      </c>
    </row>
    <row r="53" spans="2:25" x14ac:dyDescent="0.55000000000000004">
      <c r="B53" s="1" t="s">
        <v>112</v>
      </c>
      <c r="C53" t="s">
        <v>117</v>
      </c>
      <c r="D53" t="s">
        <v>97</v>
      </c>
      <c r="H53">
        <v>0</v>
      </c>
      <c r="L53" t="str">
        <f t="shared" si="0"/>
        <v>I7 14650HX</v>
      </c>
      <c r="M53" t="str">
        <f t="shared" si="1"/>
        <v>5060</v>
      </c>
      <c r="Q53">
        <v>0</v>
      </c>
      <c r="R53" t="str" cm="1">
        <f t="array" ref="R53">IFERROR(
    LOOKUP(2^15, SEARCH({"16","18","14"}, D53), {"16","18","14"}),
    ""
)</f>
        <v>14</v>
      </c>
      <c r="Y53" t="s">
        <v>16</v>
      </c>
    </row>
    <row r="54" spans="2:25" x14ac:dyDescent="0.55000000000000004">
      <c r="H54">
        <v>0</v>
      </c>
      <c r="Y54" t="s">
        <v>16</v>
      </c>
    </row>
    <row r="55" spans="2:25" x14ac:dyDescent="0.55000000000000004">
      <c r="H55">
        <v>0</v>
      </c>
      <c r="Y55" t="s">
        <v>16</v>
      </c>
    </row>
    <row r="56" spans="2:25" x14ac:dyDescent="0.55000000000000004">
      <c r="H56">
        <v>0</v>
      </c>
      <c r="Y56" t="s">
        <v>16</v>
      </c>
    </row>
    <row r="57" spans="2:25" x14ac:dyDescent="0.55000000000000004">
      <c r="H57">
        <v>0</v>
      </c>
      <c r="Y57" t="s">
        <v>16</v>
      </c>
    </row>
    <row r="58" spans="2:25" x14ac:dyDescent="0.55000000000000004">
      <c r="H58">
        <v>0</v>
      </c>
      <c r="Y58" t="s">
        <v>16</v>
      </c>
    </row>
    <row r="59" spans="2:25" x14ac:dyDescent="0.55000000000000004">
      <c r="H59">
        <v>0</v>
      </c>
      <c r="Y59" t="s">
        <v>16</v>
      </c>
    </row>
    <row r="60" spans="2:25" x14ac:dyDescent="0.55000000000000004">
      <c r="H60">
        <v>0</v>
      </c>
      <c r="Y60" t="s">
        <v>16</v>
      </c>
    </row>
    <row r="61" spans="2:25" x14ac:dyDescent="0.55000000000000004">
      <c r="H61">
        <v>0</v>
      </c>
      <c r="Y61" t="s">
        <v>16</v>
      </c>
    </row>
    <row r="62" spans="2:25" x14ac:dyDescent="0.55000000000000004">
      <c r="H62">
        <v>0</v>
      </c>
      <c r="Y62" t="s">
        <v>16</v>
      </c>
    </row>
    <row r="63" spans="2:25" x14ac:dyDescent="0.55000000000000004">
      <c r="H63">
        <v>0</v>
      </c>
      <c r="Y63" t="s">
        <v>16</v>
      </c>
    </row>
    <row r="64" spans="2:25" x14ac:dyDescent="0.55000000000000004">
      <c r="H64">
        <v>0</v>
      </c>
      <c r="Y64" t="s">
        <v>16</v>
      </c>
    </row>
    <row r="65" spans="8:25" x14ac:dyDescent="0.55000000000000004">
      <c r="H65">
        <v>0</v>
      </c>
      <c r="Y65" t="s">
        <v>16</v>
      </c>
    </row>
    <row r="66" spans="8:25" x14ac:dyDescent="0.55000000000000004">
      <c r="H66">
        <v>0</v>
      </c>
      <c r="Y66" t="s">
        <v>16</v>
      </c>
    </row>
    <row r="67" spans="8:25" x14ac:dyDescent="0.55000000000000004">
      <c r="H67">
        <v>0</v>
      </c>
      <c r="Y67" t="s">
        <v>16</v>
      </c>
    </row>
    <row r="68" spans="8:25" x14ac:dyDescent="0.55000000000000004">
      <c r="H68">
        <v>0</v>
      </c>
      <c r="Y68" t="s">
        <v>16</v>
      </c>
    </row>
    <row r="69" spans="8:25" x14ac:dyDescent="0.55000000000000004">
      <c r="H69">
        <v>0</v>
      </c>
      <c r="Y69" t="s">
        <v>16</v>
      </c>
    </row>
    <row r="70" spans="8:25" x14ac:dyDescent="0.55000000000000004">
      <c r="H70">
        <v>0</v>
      </c>
      <c r="Y70" t="s">
        <v>16</v>
      </c>
    </row>
    <row r="71" spans="8:25" x14ac:dyDescent="0.55000000000000004">
      <c r="H71">
        <v>0</v>
      </c>
      <c r="Y71" t="s">
        <v>16</v>
      </c>
    </row>
    <row r="72" spans="8:25" x14ac:dyDescent="0.55000000000000004">
      <c r="H72">
        <v>0</v>
      </c>
      <c r="Y72" t="s">
        <v>16</v>
      </c>
    </row>
    <row r="73" spans="8:25" x14ac:dyDescent="0.55000000000000004">
      <c r="H73">
        <v>0</v>
      </c>
      <c r="Y73" t="s">
        <v>16</v>
      </c>
    </row>
    <row r="74" spans="8:25" x14ac:dyDescent="0.55000000000000004">
      <c r="H74">
        <v>0</v>
      </c>
      <c r="Y74" t="s">
        <v>16</v>
      </c>
    </row>
    <row r="75" spans="8:25" x14ac:dyDescent="0.55000000000000004">
      <c r="H75">
        <v>0</v>
      </c>
      <c r="Y75" t="s">
        <v>16</v>
      </c>
    </row>
    <row r="76" spans="8:25" x14ac:dyDescent="0.55000000000000004">
      <c r="H76">
        <v>0</v>
      </c>
      <c r="Y76" t="s">
        <v>16</v>
      </c>
    </row>
    <row r="77" spans="8:25" x14ac:dyDescent="0.55000000000000004">
      <c r="H77">
        <v>0</v>
      </c>
      <c r="Y77" t="s">
        <v>16</v>
      </c>
    </row>
    <row r="78" spans="8:25" x14ac:dyDescent="0.55000000000000004">
      <c r="H78">
        <v>0</v>
      </c>
      <c r="Y78" t="s">
        <v>16</v>
      </c>
    </row>
    <row r="79" spans="8:25" x14ac:dyDescent="0.55000000000000004">
      <c r="H79">
        <v>0</v>
      </c>
      <c r="Y79" t="s">
        <v>16</v>
      </c>
    </row>
  </sheetData>
  <sortState xmlns:xlrd2="http://schemas.microsoft.com/office/spreadsheetml/2017/richdata2" ref="A2:R79">
    <sortCondition ref="C1:C79"/>
  </sortState>
  <phoneticPr fontId="18" type="noConversion"/>
  <hyperlinks>
    <hyperlink ref="B50" r:id="rId1" xr:uid="{1109DFDF-2F7B-4C8C-A56B-53742F7635F1}"/>
    <hyperlink ref="B28" r:id="rId2" xr:uid="{F79B0A61-D25E-493F-BC3F-ED13C368078A}"/>
    <hyperlink ref="B29" r:id="rId3" xr:uid="{E0EA8A93-D050-4C50-ACA6-441A807B8EC8}"/>
    <hyperlink ref="B53" r:id="rId4" xr:uid="{177F6F5F-0535-4E51-AF80-40FAD6692204}"/>
    <hyperlink ref="B22" r:id="rId5" xr:uid="{AC6BDA1E-5D0A-4E27-9C9F-67AA96241FBD}"/>
    <hyperlink ref="B37" r:id="rId6" xr:uid="{8F789FFB-30E1-4A9C-8DB1-A0A586952DC1}"/>
    <hyperlink ref="B38" r:id="rId7" xr:uid="{8F2B78F5-0B48-4CE2-B9C9-3A2E4F5A4CDC}"/>
    <hyperlink ref="B39" r:id="rId8" xr:uid="{A692DDC2-E1C6-4656-A2ED-5353E8769756}"/>
    <hyperlink ref="B40" r:id="rId9" xr:uid="{89C32D61-1759-4DC4-9BB7-7043F4AB8240}"/>
    <hyperlink ref="B41" r:id="rId10" xr:uid="{973916E0-65EB-425C-8E76-C83165B3C79C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형주 이</cp:lastModifiedBy>
  <dcterms:created xsi:type="dcterms:W3CDTF">2026-03-17T04:43:28Z</dcterms:created>
  <dcterms:modified xsi:type="dcterms:W3CDTF">2026-03-24T00:31:46Z</dcterms:modified>
</cp:coreProperties>
</file>