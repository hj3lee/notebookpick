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otebookpick\data\manualdata\"/>
    </mc:Choice>
  </mc:AlternateContent>
  <xr:revisionPtr revIDLastSave="0" documentId="8_{D3BEBDA4-59A2-4E56-A7B3-3C17D740530C}" xr6:coauthVersionLast="47" xr6:coauthVersionMax="47" xr10:uidLastSave="{00000000-0000-0000-0000-000000000000}"/>
  <bookViews>
    <workbookView xWindow="-120" yWindow="-120" windowWidth="29040" windowHeight="15720" xr2:uid="{52B35C0C-4AC1-4CD7-A119-F59BBD510595}"/>
  </bookViews>
  <sheets>
    <sheet name="전체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5" l="1"/>
  <c r="L39" i="5"/>
  <c r="L38" i="5"/>
  <c r="L37" i="5"/>
  <c r="L36" i="5"/>
  <c r="L35" i="5"/>
  <c r="L34" i="5"/>
  <c r="L33" i="5"/>
  <c r="L32" i="5"/>
  <c r="L31" i="5"/>
  <c r="L3" i="5"/>
  <c r="L59" i="5"/>
  <c r="L58" i="5"/>
  <c r="L57" i="5"/>
  <c r="L56" i="5"/>
  <c r="L55" i="5"/>
  <c r="L54" i="5"/>
  <c r="L53" i="5"/>
  <c r="L52" i="5"/>
  <c r="L51" i="5"/>
  <c r="L50" i="5"/>
  <c r="L5" i="5"/>
  <c r="L79" i="5"/>
  <c r="L78" i="5"/>
  <c r="L77" i="5"/>
  <c r="L76" i="5"/>
  <c r="L75" i="5"/>
  <c r="L74" i="5"/>
  <c r="L73" i="5"/>
  <c r="L72" i="5"/>
  <c r="L71" i="5"/>
  <c r="L70" i="5"/>
  <c r="L7" i="5"/>
  <c r="L4" i="5"/>
  <c r="L6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40" i="5"/>
  <c r="L41" i="5"/>
  <c r="L42" i="5"/>
  <c r="L43" i="5"/>
  <c r="L44" i="5"/>
  <c r="L45" i="5"/>
  <c r="L46" i="5"/>
  <c r="L47" i="5"/>
  <c r="L48" i="5"/>
  <c r="L49" i="5"/>
  <c r="L60" i="5"/>
  <c r="L61" i="5"/>
  <c r="L62" i="5"/>
  <c r="L63" i="5"/>
  <c r="L64" i="5"/>
  <c r="L65" i="5"/>
  <c r="L66" i="5"/>
  <c r="L67" i="5"/>
  <c r="L68" i="5"/>
  <c r="L69" i="5"/>
  <c r="L80" i="5"/>
  <c r="L2" i="5"/>
  <c r="AE31" i="5"/>
  <c r="AE45" i="5"/>
  <c r="AE7" i="5"/>
  <c r="AE19" i="5"/>
  <c r="AE32" i="5"/>
  <c r="AE15" i="5"/>
  <c r="AE20" i="5"/>
  <c r="AE46" i="5"/>
  <c r="AE47" i="5"/>
  <c r="AE33" i="5"/>
  <c r="AE34" i="5"/>
  <c r="AE48" i="5"/>
  <c r="AE49" i="5"/>
  <c r="AE50" i="5"/>
  <c r="AE51" i="5"/>
  <c r="AE35" i="5"/>
  <c r="AE36" i="5"/>
  <c r="AE52" i="5"/>
  <c r="AE3" i="5"/>
  <c r="AE53" i="5"/>
  <c r="AE54" i="5"/>
  <c r="AE55" i="5"/>
  <c r="AE56" i="5"/>
  <c r="AE57" i="5"/>
  <c r="AE21" i="5"/>
  <c r="AE37" i="5"/>
  <c r="AE22" i="5"/>
  <c r="AE2" i="5"/>
  <c r="AE38" i="5"/>
  <c r="AE58" i="5"/>
  <c r="AE59" i="5"/>
  <c r="AE60" i="5"/>
  <c r="AE16" i="5"/>
  <c r="AE17" i="5"/>
  <c r="AE23" i="5"/>
  <c r="AE24" i="5"/>
  <c r="AE61" i="5"/>
  <c r="AE62" i="5"/>
  <c r="AE63" i="5"/>
  <c r="AE10" i="5"/>
  <c r="AE4" i="5"/>
  <c r="AE73" i="5"/>
  <c r="AE74" i="5"/>
  <c r="AE75" i="5"/>
  <c r="AE76" i="5"/>
  <c r="AE25" i="5"/>
  <c r="AE26" i="5"/>
  <c r="AE39" i="5"/>
  <c r="AE40" i="5"/>
  <c r="AE41" i="5"/>
  <c r="AE11" i="5"/>
  <c r="AE77" i="5"/>
  <c r="AE78" i="5"/>
  <c r="AE9" i="5"/>
  <c r="AE8" i="5"/>
  <c r="AE42" i="5"/>
  <c r="AE64" i="5"/>
  <c r="AE65" i="5"/>
  <c r="AE66" i="5"/>
  <c r="AE12" i="5"/>
  <c r="AE13" i="5"/>
  <c r="AE5" i="5"/>
  <c r="AE67" i="5"/>
  <c r="AE68" i="5"/>
  <c r="AE6" i="5"/>
  <c r="AE69" i="5"/>
  <c r="AE27" i="5"/>
  <c r="AE28" i="5"/>
  <c r="AE70" i="5"/>
  <c r="AE18" i="5"/>
  <c r="AE29" i="5"/>
  <c r="AE43" i="5"/>
  <c r="AE44" i="5"/>
  <c r="AE71" i="5"/>
  <c r="AE72" i="5"/>
  <c r="AE30" i="5"/>
  <c r="AE79" i="5"/>
  <c r="AE80" i="5"/>
  <c r="AE14" i="5"/>
  <c r="AD31" i="5"/>
  <c r="AD45" i="5"/>
  <c r="AD7" i="5"/>
  <c r="AD19" i="5"/>
  <c r="AD32" i="5"/>
  <c r="AD15" i="5"/>
  <c r="AD20" i="5"/>
  <c r="AD46" i="5"/>
  <c r="AD47" i="5"/>
  <c r="AD33" i="5"/>
  <c r="AD34" i="5"/>
  <c r="AD48" i="5"/>
  <c r="AD49" i="5"/>
  <c r="AD50" i="5"/>
  <c r="AD51" i="5"/>
  <c r="AD35" i="5"/>
  <c r="AD36" i="5"/>
  <c r="AD52" i="5"/>
  <c r="AD3" i="5"/>
  <c r="AD53" i="5"/>
  <c r="AD54" i="5"/>
  <c r="AD55" i="5"/>
  <c r="AD56" i="5"/>
  <c r="AD57" i="5"/>
  <c r="AD21" i="5"/>
  <c r="AD37" i="5"/>
  <c r="AD22" i="5"/>
  <c r="AD2" i="5"/>
  <c r="AD38" i="5"/>
  <c r="AD58" i="5"/>
  <c r="AD59" i="5"/>
  <c r="AD60" i="5"/>
  <c r="AD16" i="5"/>
  <c r="AD17" i="5"/>
  <c r="AD23" i="5"/>
  <c r="AD24" i="5"/>
  <c r="AD61" i="5"/>
  <c r="AD62" i="5"/>
  <c r="AD63" i="5"/>
  <c r="AD10" i="5"/>
  <c r="AD4" i="5"/>
  <c r="AD73" i="5"/>
  <c r="AD74" i="5"/>
  <c r="AD75" i="5"/>
  <c r="AD76" i="5"/>
  <c r="AD25" i="5"/>
  <c r="AD26" i="5"/>
  <c r="AD39" i="5"/>
  <c r="AD40" i="5"/>
  <c r="AD41" i="5"/>
  <c r="AD11" i="5"/>
  <c r="AD77" i="5"/>
  <c r="AD78" i="5"/>
  <c r="AD9" i="5"/>
  <c r="AD8" i="5"/>
  <c r="AD42" i="5"/>
  <c r="AD64" i="5"/>
  <c r="AD65" i="5"/>
  <c r="AD66" i="5"/>
  <c r="AD12" i="5"/>
  <c r="AD13" i="5"/>
  <c r="AD5" i="5"/>
  <c r="AD67" i="5"/>
  <c r="AD68" i="5"/>
  <c r="AD6" i="5"/>
  <c r="AD69" i="5"/>
  <c r="AD27" i="5"/>
  <c r="AD28" i="5"/>
  <c r="AD70" i="5"/>
  <c r="AD18" i="5"/>
  <c r="AD29" i="5"/>
  <c r="AD43" i="5"/>
  <c r="AD44" i="5"/>
  <c r="AD71" i="5"/>
  <c r="AD72" i="5"/>
  <c r="AD30" i="5"/>
  <c r="AD79" i="5"/>
  <c r="AD80" i="5"/>
  <c r="AD14" i="5"/>
  <c r="AC31" i="5"/>
  <c r="AC45" i="5"/>
  <c r="AC7" i="5"/>
  <c r="AC19" i="5"/>
  <c r="AC32" i="5"/>
  <c r="AC15" i="5"/>
  <c r="AC20" i="5"/>
  <c r="AC46" i="5"/>
  <c r="AC47" i="5"/>
  <c r="AC33" i="5"/>
  <c r="AC34" i="5"/>
  <c r="AC48" i="5"/>
  <c r="AC49" i="5"/>
  <c r="AC50" i="5"/>
  <c r="AC51" i="5"/>
  <c r="AC35" i="5"/>
  <c r="AC36" i="5"/>
  <c r="AC52" i="5"/>
  <c r="AC3" i="5"/>
  <c r="AC53" i="5"/>
  <c r="AC54" i="5"/>
  <c r="AC55" i="5"/>
  <c r="AC56" i="5"/>
  <c r="AC57" i="5"/>
  <c r="AC21" i="5"/>
  <c r="AC37" i="5"/>
  <c r="AC22" i="5"/>
  <c r="AC2" i="5"/>
  <c r="AC38" i="5"/>
  <c r="AC58" i="5"/>
  <c r="AC59" i="5"/>
  <c r="AC60" i="5"/>
  <c r="AC16" i="5"/>
  <c r="AC17" i="5"/>
  <c r="AC23" i="5"/>
  <c r="AC24" i="5"/>
  <c r="AC61" i="5"/>
  <c r="AC62" i="5"/>
  <c r="AC63" i="5"/>
  <c r="AC10" i="5"/>
  <c r="AC4" i="5"/>
  <c r="AC73" i="5"/>
  <c r="AC74" i="5"/>
  <c r="AC75" i="5"/>
  <c r="AC76" i="5"/>
  <c r="AC25" i="5"/>
  <c r="AC26" i="5"/>
  <c r="AC39" i="5"/>
  <c r="AC40" i="5"/>
  <c r="AC41" i="5"/>
  <c r="AC11" i="5"/>
  <c r="AC77" i="5"/>
  <c r="AC78" i="5"/>
  <c r="AC9" i="5"/>
  <c r="AC8" i="5"/>
  <c r="AC42" i="5"/>
  <c r="AC64" i="5"/>
  <c r="AC65" i="5"/>
  <c r="AC66" i="5"/>
  <c r="AC12" i="5"/>
  <c r="AC13" i="5"/>
  <c r="AC5" i="5"/>
  <c r="AC67" i="5"/>
  <c r="AC68" i="5"/>
  <c r="AC6" i="5"/>
  <c r="AC69" i="5"/>
  <c r="AC27" i="5"/>
  <c r="AC28" i="5"/>
  <c r="AC70" i="5"/>
  <c r="AC18" i="5"/>
  <c r="AC29" i="5"/>
  <c r="AC43" i="5"/>
  <c r="AC44" i="5"/>
  <c r="AC71" i="5"/>
  <c r="AC72" i="5"/>
  <c r="AC30" i="5"/>
  <c r="AC79" i="5"/>
  <c r="AC80" i="5"/>
  <c r="AC14" i="5"/>
  <c r="AA31" i="5"/>
  <c r="AA45" i="5"/>
  <c r="AA7" i="5"/>
  <c r="AA19" i="5"/>
  <c r="AA32" i="5"/>
  <c r="AA15" i="5"/>
  <c r="AA20" i="5"/>
  <c r="AA46" i="5"/>
  <c r="AA47" i="5"/>
  <c r="AA33" i="5"/>
  <c r="AA34" i="5"/>
  <c r="AA48" i="5"/>
  <c r="AA49" i="5"/>
  <c r="AA50" i="5"/>
  <c r="AA51" i="5"/>
  <c r="AA35" i="5"/>
  <c r="AA36" i="5"/>
  <c r="AA52" i="5"/>
  <c r="AA3" i="5"/>
  <c r="AA53" i="5"/>
  <c r="AA54" i="5"/>
  <c r="AA55" i="5"/>
  <c r="AA56" i="5"/>
  <c r="AA57" i="5"/>
  <c r="AA21" i="5"/>
  <c r="AA37" i="5"/>
  <c r="AA22" i="5"/>
  <c r="AA2" i="5"/>
  <c r="AA38" i="5"/>
  <c r="AA58" i="5"/>
  <c r="AA59" i="5"/>
  <c r="AA60" i="5"/>
  <c r="AA16" i="5"/>
  <c r="AA17" i="5"/>
  <c r="AA23" i="5"/>
  <c r="AA24" i="5"/>
  <c r="AA61" i="5"/>
  <c r="AA62" i="5"/>
  <c r="AA63" i="5"/>
  <c r="AA10" i="5"/>
  <c r="AA4" i="5"/>
  <c r="AA73" i="5"/>
  <c r="AA74" i="5"/>
  <c r="AA75" i="5"/>
  <c r="AA76" i="5"/>
  <c r="AA25" i="5"/>
  <c r="AA26" i="5"/>
  <c r="AA39" i="5"/>
  <c r="AA40" i="5"/>
  <c r="AA41" i="5"/>
  <c r="AA11" i="5"/>
  <c r="AA77" i="5"/>
  <c r="AA78" i="5"/>
  <c r="AA9" i="5"/>
  <c r="AA8" i="5"/>
  <c r="AA42" i="5"/>
  <c r="AA64" i="5"/>
  <c r="AA65" i="5"/>
  <c r="AA66" i="5"/>
  <c r="AA12" i="5"/>
  <c r="AA13" i="5"/>
  <c r="AA5" i="5"/>
  <c r="AA67" i="5"/>
  <c r="AA68" i="5"/>
  <c r="AA6" i="5"/>
  <c r="AA69" i="5"/>
  <c r="AA27" i="5"/>
  <c r="AA28" i="5"/>
  <c r="AA70" i="5"/>
  <c r="AA18" i="5"/>
  <c r="AA29" i="5"/>
  <c r="AA43" i="5"/>
  <c r="AA44" i="5"/>
  <c r="AA71" i="5"/>
  <c r="AA72" i="5"/>
  <c r="AA30" i="5"/>
  <c r="AA79" i="5"/>
  <c r="AA80" i="5"/>
  <c r="AA14" i="5"/>
  <c r="AB80" i="5" l="1"/>
  <c r="AB14" i="5"/>
  <c r="AB22" i="5"/>
  <c r="AB16" i="5"/>
  <c r="AB62" i="5"/>
  <c r="AB74" i="5"/>
  <c r="AB39" i="5"/>
  <c r="AB9" i="5"/>
  <c r="AB66" i="5"/>
  <c r="AB5" i="5"/>
  <c r="AB6" i="5"/>
  <c r="AB28" i="5"/>
  <c r="AB36" i="5"/>
  <c r="AB53" i="5"/>
  <c r="AB56" i="5"/>
  <c r="AB21" i="5"/>
  <c r="AB2" i="5"/>
  <c r="AB58" i="5"/>
  <c r="AB23" i="5"/>
  <c r="AB24" i="5"/>
  <c r="AB10" i="5"/>
  <c r="AB73" i="5"/>
  <c r="AB25" i="5"/>
  <c r="AB40" i="5"/>
  <c r="AB11" i="5"/>
  <c r="AB65" i="5"/>
  <c r="AB13" i="5"/>
  <c r="AB68" i="5"/>
  <c r="AB29" i="5"/>
  <c r="AB30" i="5"/>
  <c r="AB18" i="5"/>
  <c r="AB33" i="5"/>
  <c r="AB34" i="5"/>
  <c r="AB48" i="5"/>
  <c r="AB49" i="5"/>
  <c r="AB50" i="5"/>
  <c r="AB51" i="5"/>
  <c r="AB35" i="5"/>
  <c r="AB52" i="5"/>
  <c r="AB3" i="5"/>
  <c r="AB54" i="5"/>
  <c r="AB55" i="5"/>
  <c r="AB57" i="5"/>
  <c r="AB37" i="5"/>
  <c r="AB38" i="5"/>
  <c r="AB60" i="5"/>
  <c r="AB17" i="5"/>
  <c r="AB61" i="5"/>
  <c r="AB63" i="5"/>
  <c r="AB4" i="5"/>
  <c r="AB75" i="5"/>
  <c r="AB76" i="5"/>
  <c r="AB26" i="5"/>
  <c r="AB41" i="5"/>
  <c r="AB78" i="5"/>
  <c r="AB64" i="5"/>
  <c r="AB12" i="5"/>
  <c r="AB67" i="5"/>
  <c r="AB27" i="5"/>
  <c r="AB43" i="5"/>
  <c r="AB72" i="5"/>
  <c r="AB59" i="5"/>
  <c r="AB77" i="5"/>
  <c r="AB69" i="5"/>
  <c r="AB44" i="5"/>
  <c r="AB79" i="5"/>
  <c r="AB8" i="5"/>
  <c r="AB42" i="5"/>
  <c r="AB70" i="5"/>
  <c r="AB71" i="5"/>
  <c r="AB32" i="5"/>
  <c r="AB47" i="5"/>
  <c r="AB19" i="5"/>
  <c r="AB15" i="5"/>
  <c r="AB20" i="5"/>
  <c r="AB46" i="5"/>
  <c r="AB45" i="5"/>
  <c r="AB7" i="5"/>
  <c r="AB31" i="5"/>
</calcChain>
</file>

<file path=xl/sharedStrings.xml><?xml version="1.0" encoding="utf-8"?>
<sst xmlns="http://schemas.openxmlformats.org/spreadsheetml/2006/main" count="608" uniqueCount="246">
  <si>
    <t>id</t>
  </si>
  <si>
    <t>link</t>
  </si>
  <si>
    <t>brand</t>
  </si>
  <si>
    <t>variant</t>
  </si>
  <si>
    <t>remark</t>
  </si>
  <si>
    <t>sold_out</t>
  </si>
  <si>
    <t>price_reference</t>
  </si>
  <si>
    <t>price_current</t>
  </si>
  <si>
    <t>discount_rate</t>
  </si>
  <si>
    <t>cpu</t>
  </si>
  <si>
    <t>ram</t>
  </si>
  <si>
    <t>ram_type</t>
  </si>
  <si>
    <t>ssd</t>
  </si>
  <si>
    <t>screen_size</t>
  </si>
  <si>
    <t>display</t>
  </si>
  <si>
    <t>weight</t>
  </si>
  <si>
    <t>battery</t>
  </si>
  <si>
    <t>screen_type</t>
  </si>
  <si>
    <t>graphic</t>
  </si>
  <si>
    <t>w_per_h</t>
  </si>
  <si>
    <t>market</t>
  </si>
  <si>
    <t>battery_time</t>
  </si>
  <si>
    <t>battery_time_centered</t>
  </si>
  <si>
    <t>display_centered</t>
  </si>
  <si>
    <t>weight_diff_pct</t>
  </si>
  <si>
    <t>graphic_centered</t>
  </si>
  <si>
    <t>https://www.coupang.com/vp/products/8563924172?itemId=24803637451&amp;vendorItemId=91811310020</t>
  </si>
  <si>
    <t>acer</t>
  </si>
  <si>
    <t>u7 258v</t>
  </si>
  <si>
    <t>onboard</t>
  </si>
  <si>
    <t>oled</t>
  </si>
  <si>
    <t>쿠팡</t>
  </si>
  <si>
    <t>https://www.coupang.com/vp/products/8906849724</t>
  </si>
  <si>
    <t>u5 225h</t>
  </si>
  <si>
    <t>https://www.coupang.com/vp/products/9047218674?itemId=26552559197&amp;vendorItemId=93526407709</t>
  </si>
  <si>
    <t>u5 115u</t>
  </si>
  <si>
    <t>ips</t>
  </si>
  <si>
    <t>https://www.coupang.com/vp/products/8773621852?itemId=25522224881&amp;vendorItemId=92514067366</t>
  </si>
  <si>
    <t>램 장착 권장</t>
  </si>
  <si>
    <t>i3 1305u</t>
  </si>
  <si>
    <t>single</t>
  </si>
  <si>
    <t>https://www.coupang.com/vp/products/8708067859?itemId=25326317735&amp;vendorItemId=92321198996</t>
  </si>
  <si>
    <t>i5 1335u</t>
  </si>
  <si>
    <t>https://www.coupang.com/vp/products/8579806173?itemId=24867355094&amp;vendorItemId=91874318252</t>
  </si>
  <si>
    <t>asus</t>
  </si>
  <si>
    <t>[ARM] 젠북 A14, X1-26</t>
  </si>
  <si>
    <t>x1-26</t>
  </si>
  <si>
    <t>https://www.coupang.com/vp/products/8982838372?itemId=26302272690&amp;vendorItemId=93279989300</t>
  </si>
  <si>
    <t>i5 120u</t>
  </si>
  <si>
    <t>https://www.coupang.com/vp/products/8593723288?itemId=24917488765&amp;vendorItemId=91923824133</t>
  </si>
  <si>
    <t>https://www.coupang.com/vp/products/8620714025</t>
  </si>
  <si>
    <t>r7 260</t>
  </si>
  <si>
    <t>https://www.coupang.com/vp/products/8814642136?itemId=25682243168&amp;vendorItemId=92671562598</t>
  </si>
  <si>
    <t>i5 13420h</t>
  </si>
  <si>
    <t>https://www.coupang.com/vp/products/8941702848?itemId=26149371639&amp;vendorItemId=93129360141</t>
  </si>
  <si>
    <t>r7 350</t>
  </si>
  <si>
    <t>https://www.coupang.com/vp/products/8952483892?itemId=26187891331&amp;vendorItemId=93167335508</t>
  </si>
  <si>
    <t>https://www.coupang.com/vp/products/8539448432?itemId=24722655866&amp;vendorItemId=91731863931</t>
  </si>
  <si>
    <t>u7 255h</t>
  </si>
  <si>
    <t>onaboard</t>
  </si>
  <si>
    <t>https://www.coupang.com/vp/products/8663359080?itemId=25144221332&amp;vendorItemId=92143117148</t>
  </si>
  <si>
    <t>https://www.coupang.com/vp/products/8410862361?itemId=24318990059&amp;vendorItemId=91334761271</t>
  </si>
  <si>
    <t>그레이</t>
  </si>
  <si>
    <t>u5 226v</t>
  </si>
  <si>
    <t>https://www.coupang.com/vp/products/8410863709?itemId=24318995803&amp;vendorItemId=91334766593</t>
  </si>
  <si>
    <t>화이트</t>
  </si>
  <si>
    <t>https://www.coupang.com/vp/products/8544270516?itemId=24738885102&amp;vendorItemId=91747617943</t>
  </si>
  <si>
    <t>https://www.coupang.com/vp/products/8620630703?itemId=25010066108&amp;vendorItemId=92015050332</t>
  </si>
  <si>
    <t>hp</t>
  </si>
  <si>
    <t>i5 1334u</t>
  </si>
  <si>
    <t>https://www.coupang.com/vp/products/8099175514?itemId=22901913166&amp;vendorItemId=89936416843</t>
  </si>
  <si>
    <t>r5 7430u</t>
  </si>
  <si>
    <t>https://www.coupang.com/vp/products/8703035211?itemId=25273784880&amp;vendorItemId=92269450641</t>
  </si>
  <si>
    <t>r5 7530u</t>
  </si>
  <si>
    <t>https://www.coupang.com/vp/products/8849752787?itemId=25016750920&amp;vendorItemId=92021599232</t>
  </si>
  <si>
    <t>u5 228v</t>
  </si>
  <si>
    <t>https://www.coupang.com/vp/products/8648574647?itemId=25102068021&amp;vendorItemId=92104783093</t>
  </si>
  <si>
    <t>i3 1315u</t>
  </si>
  <si>
    <t>dual</t>
  </si>
  <si>
    <t>https://www.coupang.com/vp/products/8785877887?itemId=25566791886&amp;vendorItemId=92557979714</t>
  </si>
  <si>
    <t>https://www.coupang.com/vp/products/8740557641?itemId=25402248933&amp;vendorItemId=92395806929</t>
  </si>
  <si>
    <t>r5 340</t>
  </si>
  <si>
    <t>https://www.coupang.com/vp/products/8743114968?itemId=25409271495&amp;vendorItemId=92402704438</t>
  </si>
  <si>
    <t>https://www.coupang.com/vp/products/8688208941?itemId=25224312267&amp;vendorItemId=92220619670</t>
  </si>
  <si>
    <t>https://www.coupang.com/vp/products/8847574516?itemId=25515379290&amp;vendorItemId=92507314479</t>
  </si>
  <si>
    <t>https://www.coupang.com/vp/products/8734831107?itemId=25383774207&amp;vendorItemId=92377682363</t>
  </si>
  <si>
    <t>https://www.coupang.com/vp/products/8829827803?itemId=25383774406&amp;vendorItemId=92377682706</t>
  </si>
  <si>
    <t>https://www.coupang.com/vp/products/8565613980?itemId=24810120311&amp;vendorItemId=92229848441</t>
  </si>
  <si>
    <t>https://www.coupang.com/vp/products/8398992443?itemId=24277916398&amp;vendorItemId=91294313138</t>
  </si>
  <si>
    <t>https://www.coupang.com/vp/products/9088545835?itemId=26706196132&amp;vendorItemId=93677980039</t>
  </si>
  <si>
    <t>lenovo</t>
  </si>
  <si>
    <t>r3 7320u</t>
  </si>
  <si>
    <t>https://www.coupang.com/vp/products/9128738400?itemId=26858501933&amp;vendorItemId=93828215044</t>
  </si>
  <si>
    <t>V15 G5 IRL, i5 13420H</t>
  </si>
  <si>
    <t>https://www.coupang.com/vp/products/8680039848?itemId=25197742104&amp;vendorItemId=92194389018</t>
  </si>
  <si>
    <t>r5 7535hs</t>
  </si>
  <si>
    <t>https://www.coupang.com/vp/products/8146665286?itemId=23167065497&amp;vendorItemId=90199849499</t>
  </si>
  <si>
    <t>r7 7735hs</t>
  </si>
  <si>
    <t>https://www.coupang.com/vp/products/8201783041?itemId=23513749012&amp;vendorItemId=90540144557</t>
  </si>
  <si>
    <t>https://www.coupang.com/vp/products/8201783041?itemId=24949700717&amp;vendorItemId=91955595467</t>
  </si>
  <si>
    <t>https://www.coupang.com/vp/products/8760943054?itemId=25474839711&amp;vendorItemId=92467262961</t>
  </si>
  <si>
    <t>https://www.coupang.com/vp/products/8730924757?itemId=25369154828&amp;vendorItemId=92363325594</t>
  </si>
  <si>
    <t>r5 8640hs</t>
  </si>
  <si>
    <t>https://www.coupang.com/vp/products/8743086948?itemId=25409162113&amp;vendorItemId=92402597630</t>
  </si>
  <si>
    <t>https://www.coupang.com/vp/products/9251257445?itemId=27363809908&amp;vendorItemId=94329842260</t>
  </si>
  <si>
    <t>https://www.coupang.com/vp/products/8789578488?itemId=25368988626&amp;vendorItemId=92363162957</t>
  </si>
  <si>
    <t>r5 7533hs</t>
  </si>
  <si>
    <t>https://www.coupang.com/vp/products/8956936394?itemId=26207071340&amp;vendorItemId=93186207320</t>
  </si>
  <si>
    <t>https://www.coupang.com/vp/products/8849748058</t>
  </si>
  <si>
    <t>https://www.coupang.com/vp/products/8660625625</t>
  </si>
  <si>
    <t>https://www.coupang.com/vp/products/8898341424</t>
  </si>
  <si>
    <t>https://www.coupang.com/vp/products/8898526670?itemId=26840804658&amp;vendorItemId=93810725946</t>
  </si>
  <si>
    <t>https://www.coupang.com/vp/products/8670201542</t>
  </si>
  <si>
    <t>https://www.coupang.com/vp/products/8883152949</t>
  </si>
  <si>
    <t>https://www.coupang.com/vp/products/8883267474</t>
  </si>
  <si>
    <t>https://www.coupang.com/vp/products/8847714479?itemId=25737737037&amp;vendorItemId=92733954991</t>
  </si>
  <si>
    <t>https://www.coupang.com/vp/products/8673080963?itemId=25177237369&amp;vendorItemId=92174218910</t>
  </si>
  <si>
    <t>그레이, 512GB</t>
  </si>
  <si>
    <t>https://www.coupang.com/vp/products/8673080963?itemId=25177237372&amp;vendorItemId=92174218945</t>
  </si>
  <si>
    <t>씨쉘, 1TB</t>
  </si>
  <si>
    <t>https://www.coupang.com/vp/products/8673080960?itemId=25177237363&amp;vendorItemId=92174218920</t>
  </si>
  <si>
    <t>씨쉘, 512GB</t>
  </si>
  <si>
    <t>https://www.coupang.com/vp/products/8673080960?itemId=25177237359&amp;vendorItemId=92174218896</t>
  </si>
  <si>
    <t>그레이, 1TB</t>
  </si>
  <si>
    <t>https://www.coupang.com/vp/products/8670590507?itemId=25169885850&amp;vendorItemId=92167265171</t>
  </si>
  <si>
    <t>https://www.coupang.com/vp/products/8670590493?itemId=25169885815&amp;vendorItemId=92167265169</t>
  </si>
  <si>
    <t>https://www.coupang.com/vp/products/8408971036?itemId=24311993053&amp;vendorItemId=91327841194</t>
  </si>
  <si>
    <t>https://www.coupang.com/vp/products/7955896989?itemId=21980916755&amp;vendorItemId=89028561695</t>
  </si>
  <si>
    <t>u7 155u</t>
  </si>
  <si>
    <t>https://www.coupang.com/vp/products/8518435229?itemId=24662380297&amp;vendorItemId=91672792964</t>
  </si>
  <si>
    <t>lg</t>
  </si>
  <si>
    <t>https://www.coupang.com/vp/products/8518435238?itemId=24662380338&amp;vendorItemId=91672792997</t>
  </si>
  <si>
    <t>https://www.coupang.com/vp/products/9254540118?itemId=27375892893&amp;vendorItemId=94341788006</t>
  </si>
  <si>
    <t>프리도스</t>
  </si>
  <si>
    <t>https://www.coupang.com/vp/products/9254540118?itemId=27375892891&amp;vendorItemId=94341788005</t>
  </si>
  <si>
    <t>윈도우 포함</t>
  </si>
  <si>
    <t>https://www.coupang.com/vp/products/8518435232?itemId=24662380325&amp;vendorItemId=91672792975</t>
  </si>
  <si>
    <t>https://www.coupang.com/vp/products/8518435234?itemId=24662380327&amp;vendorItemId=91672792982</t>
  </si>
  <si>
    <t>https://www.coupang.com/vp/products/8826291800?itemId=25753343478&amp;vendorItemId=92741604174</t>
  </si>
  <si>
    <t>microsoft</t>
  </si>
  <si>
    <t>x1p-46</t>
  </si>
  <si>
    <t>https://www.coupang.com/vp/products/8665657438?itemId=23498375950&amp;vendorItemId=90524823846</t>
  </si>
  <si>
    <t>x1p-64</t>
  </si>
  <si>
    <t>CTO</t>
    <phoneticPr fontId="18" type="noConversion"/>
  </si>
  <si>
    <t>u5 228v</t>
    <phoneticPr fontId="18" type="noConversion"/>
  </si>
  <si>
    <t>onboard</t>
    <phoneticPr fontId="18" type="noConversion"/>
  </si>
  <si>
    <t>oled</t>
    <phoneticPr fontId="18" type="noConversion"/>
  </si>
  <si>
    <t>레노버</t>
    <phoneticPr fontId="18" type="noConversion"/>
  </si>
  <si>
    <t>ips</t>
    <phoneticPr fontId="18" type="noConversion"/>
  </si>
  <si>
    <t>u5 226v</t>
    <phoneticPr fontId="18" type="noConversion"/>
  </si>
  <si>
    <t>u5 225H</t>
    <phoneticPr fontId="18" type="noConversion"/>
  </si>
  <si>
    <t>https://item.gmarket.co.kr/Item?goodscode=4623684498</t>
    <phoneticPr fontId="18" type="noConversion"/>
  </si>
  <si>
    <t>g마켓</t>
    <phoneticPr fontId="18" type="noConversion"/>
  </si>
  <si>
    <t>https://item.gmarket.co.kr/Item?goodscode=3576393966</t>
    <phoneticPr fontId="18" type="noConversion"/>
  </si>
  <si>
    <t>후면포트</t>
    <phoneticPr fontId="18" type="noConversion"/>
  </si>
  <si>
    <t>U7 155H</t>
    <phoneticPr fontId="18" type="noConversion"/>
  </si>
  <si>
    <t>https://item.gmarket.co.kr/Item?goodscode=4330513464</t>
    <phoneticPr fontId="18" type="noConversion"/>
  </si>
  <si>
    <t>r7 350</t>
    <phoneticPr fontId="18" type="noConversion"/>
  </si>
  <si>
    <t>https://item.gmarket.co.kr/Item?goodscode=4572335752</t>
    <phoneticPr fontId="18" type="noConversion"/>
  </si>
  <si>
    <t>https://item.gmarket.co.kr/Item?goodscode=4348723218</t>
    <phoneticPr fontId="18" type="noConversion"/>
  </si>
  <si>
    <t>씨쉘, 512GB</t>
    <phoneticPr fontId="18" type="noConversion"/>
  </si>
  <si>
    <t>https://item.gmarket.co.kr/Item?goodsCode=3647883984</t>
    <phoneticPr fontId="18" type="noConversion"/>
  </si>
  <si>
    <t>네이버</t>
    <phoneticPr fontId="18" type="noConversion"/>
  </si>
  <si>
    <t>https://item.gmarket.co.kr/Item?goodscode=4563773737</t>
    <phoneticPr fontId="18" type="noConversion"/>
  </si>
  <si>
    <t>r5 340</t>
    <phoneticPr fontId="18" type="noConversion"/>
  </si>
  <si>
    <t>u7 258v</t>
    <phoneticPr fontId="18" type="noConversion"/>
  </si>
  <si>
    <t>name</t>
    <phoneticPr fontId="18" type="noConversion"/>
  </si>
  <si>
    <t>비보북 S16, R7 350</t>
  </si>
  <si>
    <t>아이디어패드 슬림3 15ARP10 OLED, R5 7533HS</t>
  </si>
  <si>
    <t>아이디어패드 슬림5 16IAH10, U5 225H</t>
  </si>
  <si>
    <t>프레스티지 16, U7 155H</t>
  </si>
  <si>
    <t>갤럭시북 5프로 NT960XHZ-A51A, U5 226V</t>
  </si>
  <si>
    <t>갤럭시북 5프로 NT940XHA-K51A, U5 226V</t>
  </si>
  <si>
    <t>씽크패드 X13, U5 225H</t>
  </si>
  <si>
    <t>스위프트 라이트 16, U5 115U</t>
  </si>
  <si>
    <t>스위프트 고 14, U5 225H</t>
  </si>
  <si>
    <t>스위프트 14, U7 258V</t>
  </si>
  <si>
    <t>비보북 18, R7 260</t>
  </si>
  <si>
    <t>비보북 16, U5 225H</t>
  </si>
  <si>
    <t>비보북 S16, U5 225H</t>
  </si>
  <si>
    <t>젠북 S14, U5 226V</t>
  </si>
  <si>
    <t>젠북 14, U7 255H</t>
  </si>
  <si>
    <t>젠북 S16, U7 258V</t>
  </si>
  <si>
    <t>옴니북 5 NAGI 16, R5 340</t>
  </si>
  <si>
    <t>옴니북 X 플립 14, R7 340 OLED</t>
  </si>
  <si>
    <t>노트북 15, R5 7430U</t>
  </si>
  <si>
    <t>노트북 255 G10, R5 7530U</t>
  </si>
  <si>
    <t>옴니북 3 15.6, R7 340</t>
  </si>
  <si>
    <t>옴니북 7 에어로 13, R7 350</t>
  </si>
  <si>
    <t>옴니북 X 플립 14, U5 226V IPS</t>
  </si>
  <si>
    <t>옴니북 X 플립 14, U5 226V OLED</t>
  </si>
  <si>
    <t>옴니북 울트라 플립 14, U5 226V</t>
  </si>
  <si>
    <t>엘리트북 울트라 G1I 14, U5 228V</t>
  </si>
  <si>
    <t>옴니북 X 플립 14, U7 258V OLED</t>
  </si>
  <si>
    <t>옴니북 울트라 플립 14, U7 258V</t>
  </si>
  <si>
    <t>V15 G4 AMN, R3 7320U</t>
  </si>
  <si>
    <t>아이디어패드 슬림5 14AKP10, R5 340</t>
  </si>
  <si>
    <t>아이디어패드 슬림5 16AKP10, R5 340</t>
  </si>
  <si>
    <t>아이디어패드 슬림5 14AKP10, R7 350</t>
  </si>
  <si>
    <t>씽크북 14ARP G7 R5, R5 7535HS</t>
  </si>
  <si>
    <t>씽크북 16ARP G7 R5, R5 7535HS</t>
  </si>
  <si>
    <t>아이디어패드 슬림3 14AHP10 OLED, R5 8640HS</t>
  </si>
  <si>
    <t>아이디어패드 슬림3 15AHP10 OLED, R5 8640HS</t>
  </si>
  <si>
    <t>아이디어패드 슬림3 15AHP10, R5 8640HS</t>
  </si>
  <si>
    <t>아이디어패드 슬림5 16AKP10, R7 350</t>
  </si>
  <si>
    <t>씽크북 16IAL G8 U5 3K, U5 225H</t>
  </si>
  <si>
    <t>아이디어패드 슬림5 14IAH10, U5 225H</t>
  </si>
  <si>
    <t>요가 슬림7 14ILL10, U5 228V</t>
  </si>
  <si>
    <t>요가북  9I 13IMU9, U7 155U</t>
  </si>
  <si>
    <t>아이디어패드 슬림5 16IAH10, U7 255H</t>
  </si>
  <si>
    <t>요가 슬림7 14ILL10, U7 258V</t>
  </si>
  <si>
    <t>요가 슬림7 15ILL9, U7 258V</t>
  </si>
  <si>
    <t>그램 14, U5 225H</t>
  </si>
  <si>
    <t>그램프로 16, U5 225H</t>
  </si>
  <si>
    <t>그램프로 17, U5 225H</t>
  </si>
  <si>
    <t>그램프로 360 16, U5 225H</t>
  </si>
  <si>
    <t>그램프로 16, U5 226V</t>
  </si>
  <si>
    <t>[ARM] 서피스 랩탑 13, X1P-46</t>
  </si>
  <si>
    <t>[ARM] 서피스 랩탑 13.8, X1P-64</t>
    <phoneticPr fontId="18" type="noConversion"/>
  </si>
  <si>
    <t>아스파이어 라이트 16, i5 1335U</t>
  </si>
  <si>
    <t>비보북 16, i5 120U</t>
  </si>
  <si>
    <t>비보북 S16, i5 13420H</t>
  </si>
  <si>
    <t>노트북 14, i5 1334U</t>
  </si>
  <si>
    <t>갤럭시북 4, i3 1315U</t>
  </si>
  <si>
    <t>아스파이어 라이트 16, i3 1305U</t>
  </si>
  <si>
    <t>옴니북 3 14, i3 1315U</t>
  </si>
  <si>
    <t>아이디어패드 슬림3 15IRU8, i3 1315U</t>
  </si>
  <si>
    <t>요가 7 2in1 14ILL10, U5 228V</t>
  </si>
  <si>
    <t>씽크패드 E16 gen3, U5 226V</t>
  </si>
  <si>
    <t>씽크패드 X9-15 gen1, U5 228V</t>
  </si>
  <si>
    <t>씽크패드 E14 gen7, U5 228V</t>
  </si>
  <si>
    <t>씽크북 14ARP G7, R7 7735HS</t>
    <phoneticPr fontId="18" type="noConversion"/>
  </si>
  <si>
    <t>씽크북 16ARP G7, R7 7735HS</t>
    <phoneticPr fontId="18" type="noConversion"/>
  </si>
  <si>
    <t>window</t>
  </si>
  <si>
    <t>아이디어패드 슬림5 2in1 16AKP10, R7 350</t>
  </si>
  <si>
    <t>요가 7 2in1 14ILL10, U7 258V</t>
  </si>
  <si>
    <t>www.Lenovo.com/kr/ko/p/laptops/thinkpad/thinkpadx/thinkpad-x13-gen-6-13-inch-intel/21rkcto1wwkr3</t>
  </si>
  <si>
    <t>www.Lenovo.com/kr/ko/p/laptops/thinkpad/thinkpade/Lenovo-thinkpad-e16-gen-3-16-inch-intel/22aycto1wwkr1</t>
  </si>
  <si>
    <t>www.Lenovo.com/kr/ko/p/laptops/thinkpad/thinkpadx9/thinkpad-x9-aura-edition-15-inch-intel/21q6cto1wwkr3</t>
  </si>
  <si>
    <t>www.Lenovo.com/kr/ko/p/laptops/thinkpad/thinkpade/thinkpad-e14-gen-7-14-inch-intel-laptop/21u2cto1wwkr2</t>
  </si>
  <si>
    <t>last_update</t>
    <phoneticPr fontId="18" type="noConversion"/>
  </si>
  <si>
    <t>https://smartstore.naver.com/SAMSUNG_mall/products/11256046363</t>
  </si>
  <si>
    <t>msi</t>
  </si>
  <si>
    <t>samsung</t>
  </si>
  <si>
    <t>on_crawl</t>
    <phoneticPr fontId="18" type="noConversion"/>
  </si>
  <si>
    <t>is_active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</si>
</sst>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42">
      <alignment vertical="center"/>
    </xf>
    <xf numFmtId="0" fontId="19" fillId="0" borderId="0" xfId="42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tem.gmarket.co.kr/Item?goodsCode=3647883984" TargetMode="External"/><Relationship Id="rId2" Type="http://schemas.openxmlformats.org/officeDocument/2006/relationships/hyperlink" Target="https://item.gmarket.co.kr/Item?goodscode=4348723218" TargetMode="External"/><Relationship Id="rId1" Type="http://schemas.openxmlformats.org/officeDocument/2006/relationships/hyperlink" Target="https://item.gmarket.co.kr/Item?goodscode=4572335752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item.gmarket.co.kr/Item?goodscode=4563773737" TargetMode="External"/><Relationship Id="rId4" Type="http://schemas.openxmlformats.org/officeDocument/2006/relationships/hyperlink" Target="https://smartstore.naver.com/samsung_mall/products/112560463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1788-00EA-46D9-AD03-A2E5A7239D60}">
  <dimension ref="A1:AE80"/>
  <sheetViews>
    <sheetView tabSelected="1" zoomScaleNormal="100" workbookViewId="0">
      <selection activeCell="F9" sqref="F9"/>
    </sheetView>
  </sheetViews>
  <sheetFormatPr defaultRowHeight="16.5" x14ac:dyDescent="0.3"/>
  <cols>
    <col min="2" max="2" width="102.125" bestFit="1" customWidth="1"/>
    <col min="3" max="3" width="11.625" customWidth="1"/>
    <col min="4" max="4" width="40.875" customWidth="1"/>
    <col min="8" max="8" width="10.625" bestFit="1" customWidth="1"/>
    <col min="9" max="9" width="10.625" customWidth="1"/>
    <col min="18" max="18" width="10.3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166</v>
      </c>
      <c r="E1" t="s">
        <v>3</v>
      </c>
      <c r="F1" t="s">
        <v>4</v>
      </c>
      <c r="G1" t="s">
        <v>5</v>
      </c>
      <c r="H1" t="s">
        <v>244</v>
      </c>
      <c r="I1" t="s">
        <v>245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233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240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</row>
    <row r="2" spans="1:31" x14ac:dyDescent="0.3">
      <c r="A2">
        <v>18</v>
      </c>
      <c r="B2" t="s">
        <v>156</v>
      </c>
      <c r="C2" t="s">
        <v>44</v>
      </c>
      <c r="D2" t="s">
        <v>167</v>
      </c>
      <c r="E2">
        <v>1</v>
      </c>
      <c r="H2">
        <v>1</v>
      </c>
      <c r="I2">
        <v>0</v>
      </c>
      <c r="J2">
        <v>140</v>
      </c>
      <c r="L2">
        <f>IF(Y2&lt;&gt;"쿠팡", ((K2-J2)/J2)*100, "")</f>
        <v>-100</v>
      </c>
      <c r="M2" t="s">
        <v>157</v>
      </c>
      <c r="N2">
        <v>16</v>
      </c>
      <c r="O2" t="s">
        <v>145</v>
      </c>
      <c r="P2">
        <v>512</v>
      </c>
      <c r="Q2">
        <v>1</v>
      </c>
      <c r="R2">
        <v>16</v>
      </c>
      <c r="S2">
        <v>8</v>
      </c>
      <c r="T2">
        <v>150</v>
      </c>
      <c r="U2">
        <v>75</v>
      </c>
      <c r="V2" t="s">
        <v>146</v>
      </c>
      <c r="W2">
        <v>7</v>
      </c>
      <c r="X2">
        <v>9.5</v>
      </c>
      <c r="Y2" t="s">
        <v>152</v>
      </c>
      <c r="AA2">
        <f t="shared" ref="AA2:AA33" si="0">U2/X2</f>
        <v>7.8947368421052628</v>
      </c>
      <c r="AB2">
        <f t="shared" ref="AB2:AB33" si="1">AA2-(AVERAGE(AA:AA))</f>
        <v>0.45561621342516823</v>
      </c>
      <c r="AC2">
        <f t="shared" ref="AC2:AC33" si="2">S2-AVERAGE(S:S)</f>
        <v>1.4746835443037973</v>
      </c>
      <c r="AD2">
        <f t="shared" ref="AD2:AD33" si="3">T2/(-110+17.25*R2)*100-100</f>
        <v>-9.6385542168674618</v>
      </c>
      <c r="AE2">
        <f t="shared" ref="AE2:AE33" si="4">W2-AVERAGE(W:W)</f>
        <v>1.075949367088608</v>
      </c>
    </row>
    <row r="3" spans="1:31" x14ac:dyDescent="0.3">
      <c r="A3">
        <v>65</v>
      </c>
      <c r="B3" t="s">
        <v>151</v>
      </c>
      <c r="C3" t="s">
        <v>90</v>
      </c>
      <c r="D3" t="s">
        <v>168</v>
      </c>
      <c r="E3">
        <v>2</v>
      </c>
      <c r="F3" t="s">
        <v>38</v>
      </c>
      <c r="H3">
        <v>1</v>
      </c>
      <c r="I3">
        <v>0</v>
      </c>
      <c r="J3">
        <v>72</v>
      </c>
      <c r="L3">
        <f>IF(Y3&lt;&gt;"쿠팡", ((K3-J3)/J3)*100, "")</f>
        <v>-100</v>
      </c>
      <c r="M3" t="s">
        <v>106</v>
      </c>
      <c r="N3">
        <v>8</v>
      </c>
      <c r="O3" t="s">
        <v>40</v>
      </c>
      <c r="P3">
        <v>256</v>
      </c>
      <c r="Q3">
        <v>1</v>
      </c>
      <c r="R3">
        <v>15.1</v>
      </c>
      <c r="S3">
        <v>8</v>
      </c>
      <c r="T3">
        <v>151</v>
      </c>
      <c r="U3">
        <v>60</v>
      </c>
      <c r="V3" t="s">
        <v>30</v>
      </c>
      <c r="W3">
        <v>5</v>
      </c>
      <c r="X3">
        <v>11</v>
      </c>
      <c r="Y3" t="s">
        <v>152</v>
      </c>
      <c r="AA3">
        <f t="shared" si="0"/>
        <v>5.4545454545454541</v>
      </c>
      <c r="AB3">
        <f t="shared" si="1"/>
        <v>-1.9845751741346405</v>
      </c>
      <c r="AC3">
        <f t="shared" si="2"/>
        <v>1.4746835443037973</v>
      </c>
      <c r="AD3">
        <f t="shared" si="3"/>
        <v>0.34889516530986953</v>
      </c>
      <c r="AE3">
        <f t="shared" si="4"/>
        <v>-0.924050632911392</v>
      </c>
    </row>
    <row r="4" spans="1:31" x14ac:dyDescent="0.3">
      <c r="A4">
        <v>66</v>
      </c>
      <c r="B4" s="2" t="s">
        <v>158</v>
      </c>
      <c r="C4" t="s">
        <v>90</v>
      </c>
      <c r="D4" t="s">
        <v>169</v>
      </c>
      <c r="E4">
        <v>1</v>
      </c>
      <c r="H4">
        <v>1</v>
      </c>
      <c r="I4">
        <v>0</v>
      </c>
      <c r="J4">
        <v>125</v>
      </c>
      <c r="L4">
        <f t="shared" ref="L4:L66" si="5">IF(Y4&lt;&gt;"쿠팡", ((K4-J4)/J4)*100, "")</f>
        <v>-100</v>
      </c>
      <c r="M4" t="s">
        <v>33</v>
      </c>
      <c r="N4">
        <v>32</v>
      </c>
      <c r="O4" t="s">
        <v>78</v>
      </c>
      <c r="P4">
        <v>512</v>
      </c>
      <c r="Q4">
        <v>0</v>
      </c>
      <c r="R4">
        <v>16</v>
      </c>
      <c r="S4">
        <v>8</v>
      </c>
      <c r="T4">
        <v>169</v>
      </c>
      <c r="U4">
        <v>60</v>
      </c>
      <c r="V4" t="s">
        <v>30</v>
      </c>
      <c r="W4">
        <v>7</v>
      </c>
      <c r="X4">
        <v>10</v>
      </c>
      <c r="Y4" t="s">
        <v>152</v>
      </c>
      <c r="AA4">
        <f t="shared" si="0"/>
        <v>6</v>
      </c>
      <c r="AB4">
        <f t="shared" si="1"/>
        <v>-1.4391206286800946</v>
      </c>
      <c r="AC4">
        <f t="shared" si="2"/>
        <v>1.4746835443037973</v>
      </c>
      <c r="AD4">
        <f t="shared" si="3"/>
        <v>1.8072289156626482</v>
      </c>
      <c r="AE4">
        <f t="shared" si="4"/>
        <v>1.075949367088608</v>
      </c>
    </row>
    <row r="5" spans="1:31" x14ac:dyDescent="0.3">
      <c r="A5">
        <v>67</v>
      </c>
      <c r="B5" s="1" t="s">
        <v>159</v>
      </c>
      <c r="C5" t="s">
        <v>90</v>
      </c>
      <c r="D5" t="s">
        <v>227</v>
      </c>
      <c r="E5">
        <v>3</v>
      </c>
      <c r="F5" t="s">
        <v>160</v>
      </c>
      <c r="H5">
        <v>1</v>
      </c>
      <c r="I5">
        <v>0</v>
      </c>
      <c r="J5">
        <v>160</v>
      </c>
      <c r="L5">
        <f>IF(Y5&lt;&gt;"쿠팡", ((K5-J5)/J5)*100, "")</f>
        <v>-100</v>
      </c>
      <c r="M5" t="s">
        <v>75</v>
      </c>
      <c r="N5">
        <v>32</v>
      </c>
      <c r="O5" t="s">
        <v>29</v>
      </c>
      <c r="P5">
        <v>512</v>
      </c>
      <c r="Q5">
        <v>1</v>
      </c>
      <c r="R5">
        <v>14</v>
      </c>
      <c r="S5">
        <v>8</v>
      </c>
      <c r="T5">
        <v>138</v>
      </c>
      <c r="U5">
        <v>70</v>
      </c>
      <c r="V5" t="s">
        <v>30</v>
      </c>
      <c r="W5">
        <v>7</v>
      </c>
      <c r="X5">
        <v>7.25</v>
      </c>
      <c r="Y5" t="s">
        <v>152</v>
      </c>
      <c r="AA5">
        <f t="shared" si="0"/>
        <v>9.6551724137931032</v>
      </c>
      <c r="AB5">
        <f t="shared" si="1"/>
        <v>2.2160517851130086</v>
      </c>
      <c r="AC5">
        <f t="shared" si="2"/>
        <v>1.4746835443037973</v>
      </c>
      <c r="AD5">
        <f t="shared" si="3"/>
        <v>4.9429657794676842</v>
      </c>
      <c r="AE5">
        <f t="shared" si="4"/>
        <v>1.075949367088608</v>
      </c>
    </row>
    <row r="6" spans="1:31" x14ac:dyDescent="0.3">
      <c r="A6">
        <v>76</v>
      </c>
      <c r="B6" t="s">
        <v>153</v>
      </c>
      <c r="C6" t="s">
        <v>242</v>
      </c>
      <c r="D6" t="s">
        <v>170</v>
      </c>
      <c r="E6">
        <v>1</v>
      </c>
      <c r="F6" t="s">
        <v>154</v>
      </c>
      <c r="H6">
        <v>1</v>
      </c>
      <c r="I6">
        <v>0</v>
      </c>
      <c r="J6">
        <v>130</v>
      </c>
      <c r="L6">
        <f t="shared" si="5"/>
        <v>-100</v>
      </c>
      <c r="M6" t="s">
        <v>155</v>
      </c>
      <c r="N6">
        <v>16</v>
      </c>
      <c r="O6" t="s">
        <v>145</v>
      </c>
      <c r="P6">
        <v>512</v>
      </c>
      <c r="Q6">
        <v>0</v>
      </c>
      <c r="R6">
        <v>16</v>
      </c>
      <c r="S6">
        <v>8</v>
      </c>
      <c r="T6">
        <v>150</v>
      </c>
      <c r="U6">
        <v>100</v>
      </c>
      <c r="V6" t="s">
        <v>146</v>
      </c>
      <c r="W6">
        <v>7</v>
      </c>
      <c r="X6">
        <v>10.25</v>
      </c>
      <c r="Y6" t="s">
        <v>152</v>
      </c>
      <c r="AA6">
        <f t="shared" si="0"/>
        <v>9.7560975609756095</v>
      </c>
      <c r="AB6">
        <f t="shared" si="1"/>
        <v>2.3169769322955149</v>
      </c>
      <c r="AC6">
        <f t="shared" si="2"/>
        <v>1.4746835443037973</v>
      </c>
      <c r="AD6">
        <f t="shared" si="3"/>
        <v>-9.6385542168674618</v>
      </c>
      <c r="AE6">
        <f t="shared" si="4"/>
        <v>1.075949367088608</v>
      </c>
    </row>
    <row r="7" spans="1:31" x14ac:dyDescent="0.3">
      <c r="A7">
        <v>77</v>
      </c>
      <c r="B7" s="1" t="s">
        <v>161</v>
      </c>
      <c r="C7" t="s">
        <v>243</v>
      </c>
      <c r="D7" t="s">
        <v>223</v>
      </c>
      <c r="E7">
        <v>1</v>
      </c>
      <c r="H7">
        <v>1</v>
      </c>
      <c r="I7">
        <v>0</v>
      </c>
      <c r="J7">
        <v>70</v>
      </c>
      <c r="L7">
        <f>IF(Y7&lt;&gt;"쿠팡", ((K7-J7)/J7)*100, "")</f>
        <v>-100</v>
      </c>
      <c r="M7" t="s">
        <v>77</v>
      </c>
      <c r="N7">
        <v>16</v>
      </c>
      <c r="O7" t="s">
        <v>145</v>
      </c>
      <c r="P7">
        <v>256</v>
      </c>
      <c r="Q7">
        <v>0</v>
      </c>
      <c r="R7">
        <v>15.6</v>
      </c>
      <c r="S7">
        <v>3</v>
      </c>
      <c r="T7">
        <v>155</v>
      </c>
      <c r="U7">
        <v>54</v>
      </c>
      <c r="V7" t="s">
        <v>148</v>
      </c>
      <c r="W7">
        <v>3</v>
      </c>
      <c r="X7">
        <v>10.25</v>
      </c>
      <c r="Y7" t="s">
        <v>152</v>
      </c>
      <c r="AA7">
        <f t="shared" si="0"/>
        <v>5.2682926829268295</v>
      </c>
      <c r="AB7">
        <f t="shared" si="1"/>
        <v>-2.1708279457532651</v>
      </c>
      <c r="AC7">
        <f t="shared" si="2"/>
        <v>-3.5253164556962027</v>
      </c>
      <c r="AD7">
        <f t="shared" si="3"/>
        <v>-2.5769956002513936</v>
      </c>
      <c r="AE7">
        <f t="shared" si="4"/>
        <v>-2.924050632911392</v>
      </c>
    </row>
    <row r="8" spans="1:31" x14ac:dyDescent="0.3">
      <c r="A8">
        <v>79</v>
      </c>
      <c r="B8" s="1" t="s">
        <v>163</v>
      </c>
      <c r="C8" t="s">
        <v>243</v>
      </c>
      <c r="D8" t="s">
        <v>171</v>
      </c>
      <c r="E8">
        <v>1</v>
      </c>
      <c r="H8">
        <v>1</v>
      </c>
      <c r="I8">
        <v>0</v>
      </c>
      <c r="J8">
        <v>175</v>
      </c>
      <c r="L8">
        <f t="shared" si="5"/>
        <v>-100</v>
      </c>
      <c r="M8" t="s">
        <v>149</v>
      </c>
      <c r="N8">
        <v>16</v>
      </c>
      <c r="O8" t="s">
        <v>145</v>
      </c>
      <c r="P8">
        <v>256</v>
      </c>
      <c r="Q8">
        <v>1</v>
      </c>
      <c r="R8">
        <v>16</v>
      </c>
      <c r="S8">
        <v>8</v>
      </c>
      <c r="T8">
        <v>156</v>
      </c>
      <c r="U8">
        <v>76</v>
      </c>
      <c r="V8" t="s">
        <v>146</v>
      </c>
      <c r="W8">
        <v>7</v>
      </c>
      <c r="X8">
        <v>7.5</v>
      </c>
      <c r="Y8" t="s">
        <v>152</v>
      </c>
      <c r="AA8">
        <f t="shared" si="0"/>
        <v>10.133333333333333</v>
      </c>
      <c r="AB8">
        <f t="shared" si="1"/>
        <v>2.6942127046532383</v>
      </c>
      <c r="AC8">
        <f t="shared" si="2"/>
        <v>1.4746835443037973</v>
      </c>
      <c r="AD8">
        <f t="shared" si="3"/>
        <v>-6.0240963855421654</v>
      </c>
      <c r="AE8">
        <f t="shared" si="4"/>
        <v>1.075949367088608</v>
      </c>
    </row>
    <row r="9" spans="1:31" x14ac:dyDescent="0.3">
      <c r="A9">
        <v>78</v>
      </c>
      <c r="B9" s="1" t="s">
        <v>241</v>
      </c>
      <c r="C9" t="s">
        <v>243</v>
      </c>
      <c r="D9" t="s">
        <v>172</v>
      </c>
      <c r="E9">
        <v>1</v>
      </c>
      <c r="H9">
        <v>0</v>
      </c>
      <c r="I9">
        <v>0</v>
      </c>
      <c r="J9">
        <v>165</v>
      </c>
      <c r="L9">
        <f t="shared" si="5"/>
        <v>-100</v>
      </c>
      <c r="M9" t="s">
        <v>149</v>
      </c>
      <c r="N9">
        <v>16</v>
      </c>
      <c r="O9" t="s">
        <v>145</v>
      </c>
      <c r="P9">
        <v>256</v>
      </c>
      <c r="Q9">
        <v>1</v>
      </c>
      <c r="R9">
        <v>14</v>
      </c>
      <c r="S9">
        <v>8</v>
      </c>
      <c r="T9">
        <v>123</v>
      </c>
      <c r="U9">
        <v>63</v>
      </c>
      <c r="V9" t="s">
        <v>146</v>
      </c>
      <c r="W9">
        <v>7</v>
      </c>
      <c r="X9">
        <v>6.75</v>
      </c>
      <c r="Y9" t="s">
        <v>162</v>
      </c>
      <c r="AA9">
        <f t="shared" si="0"/>
        <v>9.3333333333333339</v>
      </c>
      <c r="AB9">
        <f t="shared" si="1"/>
        <v>1.8942127046532393</v>
      </c>
      <c r="AC9">
        <f t="shared" si="2"/>
        <v>1.4746835443037973</v>
      </c>
      <c r="AD9">
        <f t="shared" si="3"/>
        <v>-6.4638783269961948</v>
      </c>
      <c r="AE9">
        <f t="shared" si="4"/>
        <v>1.075949367088608</v>
      </c>
    </row>
    <row r="10" spans="1:31" x14ac:dyDescent="0.3">
      <c r="A10">
        <v>64</v>
      </c>
      <c r="B10" t="s">
        <v>236</v>
      </c>
      <c r="C10" t="s">
        <v>90</v>
      </c>
      <c r="D10" t="s">
        <v>173</v>
      </c>
      <c r="E10">
        <v>1</v>
      </c>
      <c r="F10" t="s">
        <v>143</v>
      </c>
      <c r="H10">
        <v>0</v>
      </c>
      <c r="I10">
        <v>0</v>
      </c>
      <c r="J10">
        <v>160</v>
      </c>
      <c r="L10">
        <f t="shared" si="5"/>
        <v>-100</v>
      </c>
      <c r="M10" t="s">
        <v>150</v>
      </c>
      <c r="N10">
        <v>32</v>
      </c>
      <c r="O10" t="s">
        <v>145</v>
      </c>
      <c r="P10">
        <v>256</v>
      </c>
      <c r="Q10">
        <v>0</v>
      </c>
      <c r="R10">
        <v>13.3</v>
      </c>
      <c r="S10">
        <v>6</v>
      </c>
      <c r="T10">
        <v>98</v>
      </c>
      <c r="U10">
        <v>55</v>
      </c>
      <c r="V10" t="s">
        <v>148</v>
      </c>
      <c r="W10">
        <v>7</v>
      </c>
      <c r="X10">
        <v>6</v>
      </c>
      <c r="Y10" t="s">
        <v>147</v>
      </c>
      <c r="AA10">
        <f t="shared" si="0"/>
        <v>9.1666666666666661</v>
      </c>
      <c r="AB10">
        <f t="shared" si="1"/>
        <v>1.7275460379865715</v>
      </c>
      <c r="AC10">
        <f t="shared" si="2"/>
        <v>-0.52531645569620267</v>
      </c>
      <c r="AD10">
        <f t="shared" si="3"/>
        <v>-17.940129788570232</v>
      </c>
      <c r="AE10">
        <f t="shared" si="4"/>
        <v>1.075949367088608</v>
      </c>
    </row>
    <row r="11" spans="1:31" x14ac:dyDescent="0.3">
      <c r="A11">
        <v>63</v>
      </c>
      <c r="B11" t="s">
        <v>237</v>
      </c>
      <c r="C11" t="s">
        <v>90</v>
      </c>
      <c r="D11" t="s">
        <v>228</v>
      </c>
      <c r="E11">
        <v>1</v>
      </c>
      <c r="F11" t="s">
        <v>143</v>
      </c>
      <c r="H11">
        <v>0</v>
      </c>
      <c r="I11">
        <v>0</v>
      </c>
      <c r="J11">
        <v>125</v>
      </c>
      <c r="L11">
        <f t="shared" si="5"/>
        <v>-100</v>
      </c>
      <c r="M11" t="s">
        <v>149</v>
      </c>
      <c r="N11">
        <v>16</v>
      </c>
      <c r="O11" t="s">
        <v>145</v>
      </c>
      <c r="P11">
        <v>256</v>
      </c>
      <c r="Q11">
        <v>0</v>
      </c>
      <c r="R11">
        <v>16</v>
      </c>
      <c r="S11">
        <v>7</v>
      </c>
      <c r="T11">
        <v>170</v>
      </c>
      <c r="U11">
        <v>64</v>
      </c>
      <c r="V11" t="s">
        <v>148</v>
      </c>
      <c r="W11">
        <v>7</v>
      </c>
      <c r="X11">
        <v>7.5</v>
      </c>
      <c r="Y11" t="s">
        <v>147</v>
      </c>
      <c r="AA11">
        <f t="shared" si="0"/>
        <v>8.5333333333333332</v>
      </c>
      <c r="AB11">
        <f t="shared" si="1"/>
        <v>1.0942127046532386</v>
      </c>
      <c r="AC11">
        <f t="shared" si="2"/>
        <v>0.47468354430379733</v>
      </c>
      <c r="AD11">
        <f t="shared" si="3"/>
        <v>2.409638554216869</v>
      </c>
      <c r="AE11">
        <f t="shared" si="4"/>
        <v>1.075949367088608</v>
      </c>
    </row>
    <row r="12" spans="1:31" x14ac:dyDescent="0.3">
      <c r="A12">
        <v>61</v>
      </c>
      <c r="B12" t="s">
        <v>238</v>
      </c>
      <c r="C12" t="s">
        <v>90</v>
      </c>
      <c r="D12" t="s">
        <v>229</v>
      </c>
      <c r="E12">
        <v>1</v>
      </c>
      <c r="F12" t="s">
        <v>143</v>
      </c>
      <c r="H12">
        <v>0</v>
      </c>
      <c r="I12">
        <v>0</v>
      </c>
      <c r="J12">
        <v>195</v>
      </c>
      <c r="L12">
        <f t="shared" si="5"/>
        <v>-100</v>
      </c>
      <c r="M12" t="s">
        <v>144</v>
      </c>
      <c r="N12">
        <v>32</v>
      </c>
      <c r="O12" t="s">
        <v>145</v>
      </c>
      <c r="P12">
        <v>512</v>
      </c>
      <c r="Q12">
        <v>0</v>
      </c>
      <c r="R12">
        <v>15.3</v>
      </c>
      <c r="S12">
        <v>8</v>
      </c>
      <c r="T12">
        <v>140</v>
      </c>
      <c r="U12">
        <v>80</v>
      </c>
      <c r="V12" t="s">
        <v>146</v>
      </c>
      <c r="W12">
        <v>7</v>
      </c>
      <c r="X12">
        <v>7.5</v>
      </c>
      <c r="Y12" t="s">
        <v>147</v>
      </c>
      <c r="AA12">
        <f t="shared" si="0"/>
        <v>10.666666666666666</v>
      </c>
      <c r="AB12">
        <f t="shared" si="1"/>
        <v>3.2275460379865715</v>
      </c>
      <c r="AC12">
        <f t="shared" si="2"/>
        <v>1.4746835443037973</v>
      </c>
      <c r="AD12">
        <f t="shared" si="3"/>
        <v>-9.0466136105246164</v>
      </c>
      <c r="AE12">
        <f t="shared" si="4"/>
        <v>1.075949367088608</v>
      </c>
    </row>
    <row r="13" spans="1:31" x14ac:dyDescent="0.3">
      <c r="A13">
        <v>62</v>
      </c>
      <c r="B13" t="s">
        <v>239</v>
      </c>
      <c r="C13" t="s">
        <v>90</v>
      </c>
      <c r="D13" t="s">
        <v>230</v>
      </c>
      <c r="E13">
        <v>1</v>
      </c>
      <c r="F13" t="s">
        <v>143</v>
      </c>
      <c r="H13">
        <v>0</v>
      </c>
      <c r="I13">
        <v>0</v>
      </c>
      <c r="J13">
        <v>135</v>
      </c>
      <c r="L13">
        <f t="shared" si="5"/>
        <v>-100</v>
      </c>
      <c r="M13" t="s">
        <v>144</v>
      </c>
      <c r="N13">
        <v>32</v>
      </c>
      <c r="O13" t="s">
        <v>145</v>
      </c>
      <c r="P13">
        <v>512</v>
      </c>
      <c r="Q13">
        <v>0</v>
      </c>
      <c r="R13">
        <v>14</v>
      </c>
      <c r="S13">
        <v>7</v>
      </c>
      <c r="T13">
        <v>140</v>
      </c>
      <c r="U13">
        <v>64</v>
      </c>
      <c r="V13" t="s">
        <v>148</v>
      </c>
      <c r="W13">
        <v>7</v>
      </c>
      <c r="X13">
        <v>6.75</v>
      </c>
      <c r="Y13" t="s">
        <v>147</v>
      </c>
      <c r="AA13">
        <f t="shared" si="0"/>
        <v>9.481481481481481</v>
      </c>
      <c r="AB13">
        <f t="shared" si="1"/>
        <v>2.0423608528013864</v>
      </c>
      <c r="AC13">
        <f t="shared" si="2"/>
        <v>0.47468354430379733</v>
      </c>
      <c r="AD13">
        <f t="shared" si="3"/>
        <v>6.4638783269961948</v>
      </c>
      <c r="AE13">
        <f t="shared" si="4"/>
        <v>1.075949367088608</v>
      </c>
    </row>
    <row r="14" spans="1:31" x14ac:dyDescent="0.3">
      <c r="A14">
        <v>4</v>
      </c>
      <c r="B14" t="s">
        <v>37</v>
      </c>
      <c r="C14" t="s">
        <v>27</v>
      </c>
      <c r="D14" t="s">
        <v>224</v>
      </c>
      <c r="E14">
        <v>1</v>
      </c>
      <c r="F14" t="s">
        <v>38</v>
      </c>
      <c r="H14">
        <v>0</v>
      </c>
      <c r="I14">
        <v>1</v>
      </c>
      <c r="J14">
        <v>48</v>
      </c>
      <c r="L14" t="str">
        <f t="shared" si="5"/>
        <v/>
      </c>
      <c r="M14" t="s">
        <v>39</v>
      </c>
      <c r="N14">
        <v>8</v>
      </c>
      <c r="O14" t="s">
        <v>40</v>
      </c>
      <c r="P14">
        <v>512</v>
      </c>
      <c r="Q14">
        <v>0</v>
      </c>
      <c r="R14">
        <v>16</v>
      </c>
      <c r="S14">
        <v>4</v>
      </c>
      <c r="T14">
        <v>170</v>
      </c>
      <c r="U14">
        <v>58</v>
      </c>
      <c r="V14" t="s">
        <v>36</v>
      </c>
      <c r="W14">
        <v>2</v>
      </c>
      <c r="X14">
        <v>10.25</v>
      </c>
      <c r="Y14" t="s">
        <v>31</v>
      </c>
      <c r="AA14">
        <f t="shared" si="0"/>
        <v>5.6585365853658534</v>
      </c>
      <c r="AB14">
        <f t="shared" si="1"/>
        <v>-1.7805840433142412</v>
      </c>
      <c r="AC14">
        <f t="shared" si="2"/>
        <v>-2.5253164556962027</v>
      </c>
      <c r="AD14">
        <f t="shared" si="3"/>
        <v>2.409638554216869</v>
      </c>
      <c r="AE14">
        <f t="shared" si="4"/>
        <v>-3.924050632911392</v>
      </c>
    </row>
    <row r="15" spans="1:31" x14ac:dyDescent="0.3">
      <c r="A15">
        <v>5</v>
      </c>
      <c r="B15" t="s">
        <v>41</v>
      </c>
      <c r="C15" t="s">
        <v>27</v>
      </c>
      <c r="D15" t="s">
        <v>219</v>
      </c>
      <c r="E15">
        <v>1</v>
      </c>
      <c r="F15" t="s">
        <v>38</v>
      </c>
      <c r="H15">
        <v>0</v>
      </c>
      <c r="I15">
        <v>1</v>
      </c>
      <c r="J15">
        <v>55</v>
      </c>
      <c r="L15" t="str">
        <f t="shared" si="5"/>
        <v/>
      </c>
      <c r="M15" t="s">
        <v>42</v>
      </c>
      <c r="N15">
        <v>8</v>
      </c>
      <c r="O15" t="s">
        <v>40</v>
      </c>
      <c r="P15">
        <v>512</v>
      </c>
      <c r="Q15">
        <v>1</v>
      </c>
      <c r="R15">
        <v>16</v>
      </c>
      <c r="S15">
        <v>4</v>
      </c>
      <c r="T15">
        <v>170</v>
      </c>
      <c r="U15">
        <v>58</v>
      </c>
      <c r="V15" t="s">
        <v>36</v>
      </c>
      <c r="W15">
        <v>3</v>
      </c>
      <c r="X15">
        <v>10.25</v>
      </c>
      <c r="Y15" t="s">
        <v>31</v>
      </c>
      <c r="AA15">
        <f t="shared" si="0"/>
        <v>5.6585365853658534</v>
      </c>
      <c r="AB15">
        <f t="shared" si="1"/>
        <v>-1.7805840433142412</v>
      </c>
      <c r="AC15">
        <f t="shared" si="2"/>
        <v>-2.5253164556962027</v>
      </c>
      <c r="AD15">
        <f t="shared" si="3"/>
        <v>2.409638554216869</v>
      </c>
      <c r="AE15">
        <f t="shared" si="4"/>
        <v>-2.924050632911392</v>
      </c>
    </row>
    <row r="16" spans="1:31" x14ac:dyDescent="0.3">
      <c r="A16">
        <v>3</v>
      </c>
      <c r="B16" t="s">
        <v>34</v>
      </c>
      <c r="C16" t="s">
        <v>27</v>
      </c>
      <c r="D16" t="s">
        <v>174</v>
      </c>
      <c r="E16">
        <v>1</v>
      </c>
      <c r="H16">
        <v>0</v>
      </c>
      <c r="I16">
        <v>1</v>
      </c>
      <c r="J16">
        <v>75</v>
      </c>
      <c r="L16" t="str">
        <f t="shared" si="5"/>
        <v/>
      </c>
      <c r="M16" t="s">
        <v>35</v>
      </c>
      <c r="N16">
        <v>16</v>
      </c>
      <c r="O16" t="s">
        <v>29</v>
      </c>
      <c r="P16">
        <v>512</v>
      </c>
      <c r="Q16">
        <v>1</v>
      </c>
      <c r="R16">
        <v>16</v>
      </c>
      <c r="S16">
        <v>4</v>
      </c>
      <c r="T16">
        <v>119</v>
      </c>
      <c r="U16">
        <v>58</v>
      </c>
      <c r="V16" t="s">
        <v>36</v>
      </c>
      <c r="W16">
        <v>4</v>
      </c>
      <c r="X16">
        <v>9</v>
      </c>
      <c r="Y16" t="s">
        <v>31</v>
      </c>
      <c r="AA16">
        <f t="shared" si="0"/>
        <v>6.4444444444444446</v>
      </c>
      <c r="AB16">
        <f t="shared" si="1"/>
        <v>-0.99467618423564996</v>
      </c>
      <c r="AC16">
        <f t="shared" si="2"/>
        <v>-2.5253164556962027</v>
      </c>
      <c r="AD16">
        <f t="shared" si="3"/>
        <v>-28.313253012048193</v>
      </c>
      <c r="AE16">
        <f t="shared" si="4"/>
        <v>-1.924050632911392</v>
      </c>
    </row>
    <row r="17" spans="1:31" x14ac:dyDescent="0.3">
      <c r="A17">
        <v>2</v>
      </c>
      <c r="B17" t="s">
        <v>32</v>
      </c>
      <c r="C17" t="s">
        <v>27</v>
      </c>
      <c r="D17" t="s">
        <v>175</v>
      </c>
      <c r="E17">
        <v>1</v>
      </c>
      <c r="H17">
        <v>0</v>
      </c>
      <c r="I17">
        <v>1</v>
      </c>
      <c r="J17">
        <v>110</v>
      </c>
      <c r="L17" t="str">
        <f t="shared" si="5"/>
        <v/>
      </c>
      <c r="M17" t="s">
        <v>33</v>
      </c>
      <c r="N17">
        <v>16</v>
      </c>
      <c r="O17" t="s">
        <v>29</v>
      </c>
      <c r="P17">
        <v>512</v>
      </c>
      <c r="Q17">
        <v>1</v>
      </c>
      <c r="R17">
        <v>14</v>
      </c>
      <c r="S17">
        <v>8</v>
      </c>
      <c r="T17">
        <v>130</v>
      </c>
      <c r="U17">
        <v>63</v>
      </c>
      <c r="V17" t="s">
        <v>30</v>
      </c>
      <c r="W17">
        <v>7</v>
      </c>
      <c r="X17">
        <v>9.25</v>
      </c>
      <c r="Y17" t="s">
        <v>31</v>
      </c>
      <c r="AA17">
        <f t="shared" si="0"/>
        <v>6.8108108108108105</v>
      </c>
      <c r="AB17">
        <f t="shared" si="1"/>
        <v>-0.62830981786928408</v>
      </c>
      <c r="AC17">
        <f t="shared" si="2"/>
        <v>1.4746835443037973</v>
      </c>
      <c r="AD17">
        <f t="shared" si="3"/>
        <v>-1.1406844106463865</v>
      </c>
      <c r="AE17">
        <f t="shared" si="4"/>
        <v>1.075949367088608</v>
      </c>
    </row>
    <row r="18" spans="1:31" x14ac:dyDescent="0.3">
      <c r="A18">
        <v>1</v>
      </c>
      <c r="B18" t="s">
        <v>26</v>
      </c>
      <c r="C18" t="s">
        <v>27</v>
      </c>
      <c r="D18" t="s">
        <v>176</v>
      </c>
      <c r="E18">
        <v>1</v>
      </c>
      <c r="H18">
        <v>0</v>
      </c>
      <c r="I18">
        <v>1</v>
      </c>
      <c r="J18">
        <v>149</v>
      </c>
      <c r="L18" t="str">
        <f t="shared" si="5"/>
        <v/>
      </c>
      <c r="M18" t="s">
        <v>28</v>
      </c>
      <c r="N18">
        <v>32</v>
      </c>
      <c r="O18" t="s">
        <v>29</v>
      </c>
      <c r="P18">
        <v>512</v>
      </c>
      <c r="Q18">
        <v>1</v>
      </c>
      <c r="R18">
        <v>14</v>
      </c>
      <c r="S18">
        <v>8</v>
      </c>
      <c r="T18">
        <v>126</v>
      </c>
      <c r="U18">
        <v>65</v>
      </c>
      <c r="V18" t="s">
        <v>30</v>
      </c>
      <c r="W18">
        <v>8</v>
      </c>
      <c r="X18">
        <v>7.25</v>
      </c>
      <c r="Y18" t="s">
        <v>31</v>
      </c>
      <c r="AA18">
        <f t="shared" si="0"/>
        <v>8.9655172413793096</v>
      </c>
      <c r="AB18">
        <f t="shared" si="1"/>
        <v>1.526396612699215</v>
      </c>
      <c r="AC18">
        <f t="shared" si="2"/>
        <v>1.4746835443037973</v>
      </c>
      <c r="AD18">
        <f t="shared" si="3"/>
        <v>-4.1825095057034218</v>
      </c>
      <c r="AE18">
        <f t="shared" si="4"/>
        <v>2.075949367088608</v>
      </c>
    </row>
    <row r="19" spans="1:31" x14ac:dyDescent="0.3">
      <c r="A19">
        <v>7</v>
      </c>
      <c r="B19" t="s">
        <v>47</v>
      </c>
      <c r="C19" t="s">
        <v>44</v>
      </c>
      <c r="D19" t="s">
        <v>220</v>
      </c>
      <c r="E19">
        <v>1</v>
      </c>
      <c r="F19" t="s">
        <v>38</v>
      </c>
      <c r="H19">
        <v>0</v>
      </c>
      <c r="I19">
        <v>1</v>
      </c>
      <c r="J19">
        <v>53</v>
      </c>
      <c r="L19" t="str">
        <f t="shared" si="5"/>
        <v/>
      </c>
      <c r="M19" t="s">
        <v>48</v>
      </c>
      <c r="N19">
        <v>8</v>
      </c>
      <c r="O19" t="s">
        <v>40</v>
      </c>
      <c r="P19">
        <v>512</v>
      </c>
      <c r="Q19">
        <v>0</v>
      </c>
      <c r="R19">
        <v>16</v>
      </c>
      <c r="S19">
        <v>4</v>
      </c>
      <c r="T19">
        <v>188</v>
      </c>
      <c r="U19">
        <v>42</v>
      </c>
      <c r="V19" t="s">
        <v>36</v>
      </c>
      <c r="W19">
        <v>3</v>
      </c>
      <c r="X19">
        <v>10.25</v>
      </c>
      <c r="Y19" t="s">
        <v>31</v>
      </c>
      <c r="AA19">
        <f t="shared" si="0"/>
        <v>4.0975609756097562</v>
      </c>
      <c r="AB19">
        <f t="shared" si="1"/>
        <v>-3.3415596530703384</v>
      </c>
      <c r="AC19">
        <f t="shared" si="2"/>
        <v>-2.5253164556962027</v>
      </c>
      <c r="AD19">
        <f t="shared" si="3"/>
        <v>13.253012048192787</v>
      </c>
      <c r="AE19">
        <f t="shared" si="4"/>
        <v>-2.924050632911392</v>
      </c>
    </row>
    <row r="20" spans="1:31" x14ac:dyDescent="0.3">
      <c r="A20">
        <v>10</v>
      </c>
      <c r="B20" t="s">
        <v>52</v>
      </c>
      <c r="C20" t="s">
        <v>44</v>
      </c>
      <c r="D20" t="s">
        <v>221</v>
      </c>
      <c r="E20">
        <v>1</v>
      </c>
      <c r="H20">
        <v>0</v>
      </c>
      <c r="I20">
        <v>1</v>
      </c>
      <c r="J20">
        <v>82</v>
      </c>
      <c r="L20" t="str">
        <f t="shared" si="5"/>
        <v/>
      </c>
      <c r="M20" t="s">
        <v>53</v>
      </c>
      <c r="N20">
        <v>16</v>
      </c>
      <c r="O20" t="s">
        <v>40</v>
      </c>
      <c r="P20">
        <v>512</v>
      </c>
      <c r="Q20">
        <v>1</v>
      </c>
      <c r="R20">
        <v>16</v>
      </c>
      <c r="S20">
        <v>6.5</v>
      </c>
      <c r="T20">
        <v>170</v>
      </c>
      <c r="U20">
        <v>70</v>
      </c>
      <c r="V20" t="s">
        <v>30</v>
      </c>
      <c r="W20">
        <v>2</v>
      </c>
      <c r="X20">
        <v>11.75</v>
      </c>
      <c r="Y20" t="s">
        <v>31</v>
      </c>
      <c r="AA20">
        <f t="shared" si="0"/>
        <v>5.957446808510638</v>
      </c>
      <c r="AB20">
        <f t="shared" si="1"/>
        <v>-1.4816738201694566</v>
      </c>
      <c r="AC20">
        <f t="shared" si="2"/>
        <v>-2.5316455696202667E-2</v>
      </c>
      <c r="AD20">
        <f t="shared" si="3"/>
        <v>2.409638554216869</v>
      </c>
      <c r="AE20">
        <f t="shared" si="4"/>
        <v>-3.924050632911392</v>
      </c>
    </row>
    <row r="21" spans="1:31" x14ac:dyDescent="0.3">
      <c r="A21">
        <v>9</v>
      </c>
      <c r="B21" t="s">
        <v>50</v>
      </c>
      <c r="C21" t="s">
        <v>44</v>
      </c>
      <c r="D21" t="s">
        <v>177</v>
      </c>
      <c r="E21">
        <v>1</v>
      </c>
      <c r="H21">
        <v>0</v>
      </c>
      <c r="I21">
        <v>1</v>
      </c>
      <c r="J21">
        <v>96</v>
      </c>
      <c r="L21" t="str">
        <f t="shared" si="5"/>
        <v/>
      </c>
      <c r="M21" t="s">
        <v>51</v>
      </c>
      <c r="N21">
        <v>16</v>
      </c>
      <c r="O21" t="s">
        <v>40</v>
      </c>
      <c r="P21">
        <v>512</v>
      </c>
      <c r="Q21">
        <v>0</v>
      </c>
      <c r="R21">
        <v>18.399999999999999</v>
      </c>
      <c r="S21">
        <v>6</v>
      </c>
      <c r="T21">
        <v>260</v>
      </c>
      <c r="U21">
        <v>70</v>
      </c>
      <c r="V21" t="s">
        <v>36</v>
      </c>
      <c r="W21">
        <v>7</v>
      </c>
      <c r="X21">
        <v>9.5</v>
      </c>
      <c r="Y21" t="s">
        <v>31</v>
      </c>
      <c r="AA21">
        <f t="shared" si="0"/>
        <v>7.3684210526315788</v>
      </c>
      <c r="AB21">
        <f t="shared" si="1"/>
        <v>-7.0699576048515844E-2</v>
      </c>
      <c r="AC21">
        <f t="shared" si="2"/>
        <v>-0.52531645569620267</v>
      </c>
      <c r="AD21">
        <f t="shared" si="3"/>
        <v>25.361620057859227</v>
      </c>
      <c r="AE21">
        <f t="shared" si="4"/>
        <v>1.075949367088608</v>
      </c>
    </row>
    <row r="22" spans="1:31" x14ac:dyDescent="0.3">
      <c r="A22">
        <v>11</v>
      </c>
      <c r="B22" t="s">
        <v>54</v>
      </c>
      <c r="C22" t="s">
        <v>44</v>
      </c>
      <c r="D22" t="s">
        <v>167</v>
      </c>
      <c r="E22">
        <v>1</v>
      </c>
      <c r="H22">
        <v>0</v>
      </c>
      <c r="I22">
        <v>1</v>
      </c>
      <c r="J22">
        <v>117</v>
      </c>
      <c r="L22" t="str">
        <f t="shared" si="5"/>
        <v/>
      </c>
      <c r="M22" t="s">
        <v>55</v>
      </c>
      <c r="N22">
        <v>16</v>
      </c>
      <c r="O22" t="s">
        <v>40</v>
      </c>
      <c r="P22">
        <v>512</v>
      </c>
      <c r="Q22">
        <v>1</v>
      </c>
      <c r="R22">
        <v>16</v>
      </c>
      <c r="S22">
        <v>6.5</v>
      </c>
      <c r="T22">
        <v>170</v>
      </c>
      <c r="U22">
        <v>70</v>
      </c>
      <c r="V22" t="s">
        <v>30</v>
      </c>
      <c r="W22">
        <v>7</v>
      </c>
      <c r="X22">
        <v>9.25</v>
      </c>
      <c r="Y22" t="s">
        <v>31</v>
      </c>
      <c r="AA22">
        <f t="shared" si="0"/>
        <v>7.5675675675675675</v>
      </c>
      <c r="AB22">
        <f t="shared" si="1"/>
        <v>0.12844693888747294</v>
      </c>
      <c r="AC22">
        <f t="shared" si="2"/>
        <v>-2.5316455696202667E-2</v>
      </c>
      <c r="AD22">
        <f t="shared" si="3"/>
        <v>2.409638554216869</v>
      </c>
      <c r="AE22">
        <f t="shared" si="4"/>
        <v>1.075949367088608</v>
      </c>
    </row>
    <row r="23" spans="1:31" x14ac:dyDescent="0.3">
      <c r="A23">
        <v>8</v>
      </c>
      <c r="B23" t="s">
        <v>49</v>
      </c>
      <c r="C23" t="s">
        <v>44</v>
      </c>
      <c r="D23" t="s">
        <v>178</v>
      </c>
      <c r="E23">
        <v>1</v>
      </c>
      <c r="H23">
        <v>0</v>
      </c>
      <c r="I23">
        <v>1</v>
      </c>
      <c r="J23">
        <v>74</v>
      </c>
      <c r="L23" t="str">
        <f t="shared" si="5"/>
        <v/>
      </c>
      <c r="M23" t="s">
        <v>33</v>
      </c>
      <c r="N23">
        <v>16</v>
      </c>
      <c r="O23" t="s">
        <v>40</v>
      </c>
      <c r="P23">
        <v>512</v>
      </c>
      <c r="Q23">
        <v>1</v>
      </c>
      <c r="R23">
        <v>16</v>
      </c>
      <c r="S23">
        <v>4</v>
      </c>
      <c r="T23">
        <v>189</v>
      </c>
      <c r="U23">
        <v>42</v>
      </c>
      <c r="V23" t="s">
        <v>36</v>
      </c>
      <c r="W23">
        <v>7</v>
      </c>
      <c r="X23">
        <v>8.75</v>
      </c>
      <c r="Y23" t="s">
        <v>31</v>
      </c>
      <c r="AA23">
        <f t="shared" si="0"/>
        <v>4.8</v>
      </c>
      <c r="AB23">
        <f t="shared" si="1"/>
        <v>-2.6391206286800948</v>
      </c>
      <c r="AC23">
        <f t="shared" si="2"/>
        <v>-2.5253164556962027</v>
      </c>
      <c r="AD23">
        <f t="shared" si="3"/>
        <v>13.855421686746979</v>
      </c>
      <c r="AE23">
        <f t="shared" si="4"/>
        <v>1.075949367088608</v>
      </c>
    </row>
    <row r="24" spans="1:31" x14ac:dyDescent="0.3">
      <c r="A24">
        <v>12</v>
      </c>
      <c r="B24" t="s">
        <v>56</v>
      </c>
      <c r="C24" t="s">
        <v>44</v>
      </c>
      <c r="D24" t="s">
        <v>179</v>
      </c>
      <c r="E24">
        <v>1</v>
      </c>
      <c r="H24">
        <v>0</v>
      </c>
      <c r="I24">
        <v>1</v>
      </c>
      <c r="J24">
        <v>110</v>
      </c>
      <c r="L24" t="str">
        <f t="shared" si="5"/>
        <v/>
      </c>
      <c r="M24" t="s">
        <v>33</v>
      </c>
      <c r="N24">
        <v>16</v>
      </c>
      <c r="O24" t="s">
        <v>40</v>
      </c>
      <c r="P24">
        <v>512</v>
      </c>
      <c r="Q24">
        <v>1</v>
      </c>
      <c r="R24">
        <v>16</v>
      </c>
      <c r="S24">
        <v>6.5</v>
      </c>
      <c r="T24">
        <v>170</v>
      </c>
      <c r="U24">
        <v>70</v>
      </c>
      <c r="V24" t="s">
        <v>30</v>
      </c>
      <c r="W24">
        <v>7</v>
      </c>
      <c r="X24">
        <v>9.25</v>
      </c>
      <c r="Y24" t="s">
        <v>31</v>
      </c>
      <c r="AA24">
        <f t="shared" si="0"/>
        <v>7.5675675675675675</v>
      </c>
      <c r="AB24">
        <f t="shared" si="1"/>
        <v>0.12844693888747294</v>
      </c>
      <c r="AC24">
        <f t="shared" si="2"/>
        <v>-2.5316455696202667E-2</v>
      </c>
      <c r="AD24">
        <f t="shared" si="3"/>
        <v>2.409638554216869</v>
      </c>
      <c r="AE24">
        <f t="shared" si="4"/>
        <v>1.075949367088608</v>
      </c>
    </row>
    <row r="25" spans="1:31" x14ac:dyDescent="0.3">
      <c r="A25">
        <v>15</v>
      </c>
      <c r="B25" t="s">
        <v>61</v>
      </c>
      <c r="C25" t="s">
        <v>44</v>
      </c>
      <c r="D25" t="s">
        <v>180</v>
      </c>
      <c r="E25">
        <v>1</v>
      </c>
      <c r="F25" t="s">
        <v>62</v>
      </c>
      <c r="H25">
        <v>0</v>
      </c>
      <c r="I25">
        <v>1</v>
      </c>
      <c r="J25">
        <v>160</v>
      </c>
      <c r="L25" t="str">
        <f t="shared" si="5"/>
        <v/>
      </c>
      <c r="M25" t="s">
        <v>63</v>
      </c>
      <c r="N25">
        <v>16</v>
      </c>
      <c r="O25" t="s">
        <v>59</v>
      </c>
      <c r="P25">
        <v>512</v>
      </c>
      <c r="Q25">
        <v>1</v>
      </c>
      <c r="R25">
        <v>14</v>
      </c>
      <c r="S25">
        <v>8</v>
      </c>
      <c r="T25">
        <v>120</v>
      </c>
      <c r="U25">
        <v>72</v>
      </c>
      <c r="V25" t="s">
        <v>30</v>
      </c>
      <c r="W25">
        <v>7</v>
      </c>
      <c r="X25">
        <v>7.25</v>
      </c>
      <c r="Y25" t="s">
        <v>31</v>
      </c>
      <c r="AA25">
        <f t="shared" si="0"/>
        <v>9.931034482758621</v>
      </c>
      <c r="AB25">
        <f t="shared" si="1"/>
        <v>2.4919138540785264</v>
      </c>
      <c r="AC25">
        <f t="shared" si="2"/>
        <v>1.4746835443037973</v>
      </c>
      <c r="AD25">
        <f t="shared" si="3"/>
        <v>-8.7452471482889678</v>
      </c>
      <c r="AE25">
        <f t="shared" si="4"/>
        <v>1.075949367088608</v>
      </c>
    </row>
    <row r="26" spans="1:31" x14ac:dyDescent="0.3">
      <c r="A26">
        <v>16</v>
      </c>
      <c r="B26" t="s">
        <v>64</v>
      </c>
      <c r="C26" t="s">
        <v>44</v>
      </c>
      <c r="D26" t="s">
        <v>180</v>
      </c>
      <c r="E26">
        <v>2</v>
      </c>
      <c r="F26" t="s">
        <v>65</v>
      </c>
      <c r="H26">
        <v>0</v>
      </c>
      <c r="I26">
        <v>1</v>
      </c>
      <c r="J26">
        <v>160</v>
      </c>
      <c r="L26" t="str">
        <f t="shared" si="5"/>
        <v/>
      </c>
      <c r="M26" t="s">
        <v>63</v>
      </c>
      <c r="N26">
        <v>16</v>
      </c>
      <c r="O26" t="s">
        <v>59</v>
      </c>
      <c r="P26">
        <v>512</v>
      </c>
      <c r="Q26">
        <v>1</v>
      </c>
      <c r="R26">
        <v>14</v>
      </c>
      <c r="S26">
        <v>8</v>
      </c>
      <c r="T26">
        <v>120</v>
      </c>
      <c r="U26">
        <v>72</v>
      </c>
      <c r="V26" t="s">
        <v>30</v>
      </c>
      <c r="W26">
        <v>7</v>
      </c>
      <c r="X26">
        <v>7.25</v>
      </c>
      <c r="Y26" t="s">
        <v>31</v>
      </c>
      <c r="AA26">
        <f t="shared" si="0"/>
        <v>9.931034482758621</v>
      </c>
      <c r="AB26">
        <f t="shared" si="1"/>
        <v>2.4919138540785264</v>
      </c>
      <c r="AC26">
        <f t="shared" si="2"/>
        <v>1.4746835443037973</v>
      </c>
      <c r="AD26">
        <f t="shared" si="3"/>
        <v>-8.7452471482889678</v>
      </c>
      <c r="AE26">
        <f t="shared" si="4"/>
        <v>1.075949367088608</v>
      </c>
    </row>
    <row r="27" spans="1:31" x14ac:dyDescent="0.3">
      <c r="A27">
        <v>13</v>
      </c>
      <c r="B27" t="s">
        <v>57</v>
      </c>
      <c r="C27" t="s">
        <v>44</v>
      </c>
      <c r="D27" t="s">
        <v>181</v>
      </c>
      <c r="E27">
        <v>1</v>
      </c>
      <c r="H27">
        <v>0</v>
      </c>
      <c r="I27">
        <v>1</v>
      </c>
      <c r="J27">
        <v>131</v>
      </c>
      <c r="L27" t="str">
        <f t="shared" si="5"/>
        <v/>
      </c>
      <c r="M27" t="s">
        <v>58</v>
      </c>
      <c r="N27">
        <v>16</v>
      </c>
      <c r="O27" t="s">
        <v>59</v>
      </c>
      <c r="P27">
        <v>512</v>
      </c>
      <c r="Q27">
        <v>1</v>
      </c>
      <c r="R27">
        <v>14</v>
      </c>
      <c r="S27">
        <v>8</v>
      </c>
      <c r="T27">
        <v>128</v>
      </c>
      <c r="U27">
        <v>75</v>
      </c>
      <c r="V27" t="s">
        <v>30</v>
      </c>
      <c r="W27">
        <v>8</v>
      </c>
      <c r="X27">
        <v>9.25</v>
      </c>
      <c r="Y27" t="s">
        <v>31</v>
      </c>
      <c r="AA27">
        <f t="shared" si="0"/>
        <v>8.1081081081081088</v>
      </c>
      <c r="AB27">
        <f t="shared" si="1"/>
        <v>0.66898747942801418</v>
      </c>
      <c r="AC27">
        <f t="shared" si="2"/>
        <v>1.4746835443037973</v>
      </c>
      <c r="AD27">
        <f t="shared" si="3"/>
        <v>-2.6615969581749113</v>
      </c>
      <c r="AE27">
        <f t="shared" si="4"/>
        <v>2.075949367088608</v>
      </c>
    </row>
    <row r="28" spans="1:31" x14ac:dyDescent="0.3">
      <c r="A28">
        <v>14</v>
      </c>
      <c r="B28" t="s">
        <v>60</v>
      </c>
      <c r="C28" t="s">
        <v>44</v>
      </c>
      <c r="D28" t="s">
        <v>181</v>
      </c>
      <c r="E28">
        <v>2</v>
      </c>
      <c r="H28">
        <v>0</v>
      </c>
      <c r="I28">
        <v>1</v>
      </c>
      <c r="J28">
        <v>146</v>
      </c>
      <c r="L28" t="str">
        <f t="shared" si="5"/>
        <v/>
      </c>
      <c r="M28" t="s">
        <v>58</v>
      </c>
      <c r="N28">
        <v>32</v>
      </c>
      <c r="O28" t="s">
        <v>59</v>
      </c>
      <c r="P28">
        <v>512</v>
      </c>
      <c r="Q28">
        <v>1</v>
      </c>
      <c r="R28">
        <v>14</v>
      </c>
      <c r="S28">
        <v>8</v>
      </c>
      <c r="T28">
        <v>128</v>
      </c>
      <c r="U28">
        <v>75</v>
      </c>
      <c r="V28" t="s">
        <v>30</v>
      </c>
      <c r="W28">
        <v>8</v>
      </c>
      <c r="X28">
        <v>9.25</v>
      </c>
      <c r="Y28" t="s">
        <v>31</v>
      </c>
      <c r="AA28">
        <f t="shared" si="0"/>
        <v>8.1081081081081088</v>
      </c>
      <c r="AB28">
        <f t="shared" si="1"/>
        <v>0.66898747942801418</v>
      </c>
      <c r="AC28">
        <f t="shared" si="2"/>
        <v>1.4746835443037973</v>
      </c>
      <c r="AD28">
        <f t="shared" si="3"/>
        <v>-2.6615969581749113</v>
      </c>
      <c r="AE28">
        <f t="shared" si="4"/>
        <v>2.075949367088608</v>
      </c>
    </row>
    <row r="29" spans="1:31" x14ac:dyDescent="0.3">
      <c r="A29">
        <v>17</v>
      </c>
      <c r="B29" t="s">
        <v>66</v>
      </c>
      <c r="C29" t="s">
        <v>44</v>
      </c>
      <c r="D29" t="s">
        <v>182</v>
      </c>
      <c r="E29">
        <v>1</v>
      </c>
      <c r="H29">
        <v>0</v>
      </c>
      <c r="I29">
        <v>1</v>
      </c>
      <c r="J29">
        <v>203</v>
      </c>
      <c r="L29" t="str">
        <f t="shared" si="5"/>
        <v/>
      </c>
      <c r="M29" t="s">
        <v>28</v>
      </c>
      <c r="N29">
        <v>32</v>
      </c>
      <c r="O29" t="s">
        <v>59</v>
      </c>
      <c r="P29">
        <v>1024</v>
      </c>
      <c r="Q29">
        <v>1</v>
      </c>
      <c r="R29">
        <v>16</v>
      </c>
      <c r="S29">
        <v>8</v>
      </c>
      <c r="T29">
        <v>150</v>
      </c>
      <c r="U29">
        <v>78</v>
      </c>
      <c r="V29" t="s">
        <v>30</v>
      </c>
      <c r="W29">
        <v>8</v>
      </c>
      <c r="X29">
        <v>8</v>
      </c>
      <c r="Y29" t="s">
        <v>31</v>
      </c>
      <c r="AA29">
        <f t="shared" si="0"/>
        <v>9.75</v>
      </c>
      <c r="AB29">
        <f t="shared" si="1"/>
        <v>2.3108793713199054</v>
      </c>
      <c r="AC29">
        <f t="shared" si="2"/>
        <v>1.4746835443037973</v>
      </c>
      <c r="AD29">
        <f t="shared" si="3"/>
        <v>-9.6385542168674618</v>
      </c>
      <c r="AE29">
        <f t="shared" si="4"/>
        <v>2.075949367088608</v>
      </c>
    </row>
    <row r="30" spans="1:31" x14ac:dyDescent="0.3">
      <c r="A30">
        <v>6</v>
      </c>
      <c r="B30" t="s">
        <v>43</v>
      </c>
      <c r="C30" t="s">
        <v>44</v>
      </c>
      <c r="D30" t="s">
        <v>45</v>
      </c>
      <c r="E30">
        <v>1</v>
      </c>
      <c r="H30">
        <v>0</v>
      </c>
      <c r="I30">
        <v>1</v>
      </c>
      <c r="J30">
        <v>110</v>
      </c>
      <c r="L30" t="str">
        <f t="shared" ref="L30:L39" si="6">IF(Y30&lt;&gt;"쿠팡", ((K30-J30)/J30)*100, "")</f>
        <v/>
      </c>
      <c r="M30" t="s">
        <v>46</v>
      </c>
      <c r="N30">
        <v>16</v>
      </c>
      <c r="O30" t="s">
        <v>29</v>
      </c>
      <c r="P30">
        <v>512</v>
      </c>
      <c r="Q30">
        <v>1</v>
      </c>
      <c r="R30">
        <v>14</v>
      </c>
      <c r="S30">
        <v>6</v>
      </c>
      <c r="T30">
        <v>90</v>
      </c>
      <c r="U30">
        <v>48</v>
      </c>
      <c r="V30" t="s">
        <v>36</v>
      </c>
      <c r="W30">
        <v>3</v>
      </c>
      <c r="X30">
        <v>5.5</v>
      </c>
      <c r="Y30" t="s">
        <v>31</v>
      </c>
      <c r="AA30">
        <f t="shared" si="0"/>
        <v>8.7272727272727266</v>
      </c>
      <c r="AB30">
        <f t="shared" si="1"/>
        <v>1.288152098592632</v>
      </c>
      <c r="AC30">
        <f t="shared" si="2"/>
        <v>-0.52531645569620267</v>
      </c>
      <c r="AD30">
        <f t="shared" si="3"/>
        <v>-31.55893536121674</v>
      </c>
      <c r="AE30">
        <f t="shared" si="4"/>
        <v>-2.924050632911392</v>
      </c>
    </row>
    <row r="31" spans="1:31" x14ac:dyDescent="0.3">
      <c r="A31">
        <v>23</v>
      </c>
      <c r="B31" t="s">
        <v>76</v>
      </c>
      <c r="C31" t="s">
        <v>68</v>
      </c>
      <c r="D31" t="s">
        <v>225</v>
      </c>
      <c r="E31">
        <v>1</v>
      </c>
      <c r="H31">
        <v>0</v>
      </c>
      <c r="I31">
        <v>1</v>
      </c>
      <c r="J31">
        <v>45</v>
      </c>
      <c r="L31" t="str">
        <f t="shared" si="6"/>
        <v/>
      </c>
      <c r="M31" t="s">
        <v>77</v>
      </c>
      <c r="N31">
        <v>8</v>
      </c>
      <c r="O31" t="s">
        <v>78</v>
      </c>
      <c r="P31">
        <v>256</v>
      </c>
      <c r="Q31">
        <v>1</v>
      </c>
      <c r="R31">
        <v>14</v>
      </c>
      <c r="S31">
        <v>3</v>
      </c>
      <c r="T31">
        <v>140</v>
      </c>
      <c r="U31">
        <v>41</v>
      </c>
      <c r="V31" t="s">
        <v>36</v>
      </c>
      <c r="W31">
        <v>3</v>
      </c>
      <c r="X31">
        <v>9.5</v>
      </c>
      <c r="Y31" t="s">
        <v>31</v>
      </c>
      <c r="AA31">
        <f t="shared" si="0"/>
        <v>4.3157894736842106</v>
      </c>
      <c r="AB31">
        <f t="shared" si="1"/>
        <v>-3.123331154995884</v>
      </c>
      <c r="AC31">
        <f t="shared" si="2"/>
        <v>-3.5253164556962027</v>
      </c>
      <c r="AD31">
        <f t="shared" si="3"/>
        <v>6.4638783269961948</v>
      </c>
      <c r="AE31">
        <f t="shared" si="4"/>
        <v>-2.924050632911392</v>
      </c>
    </row>
    <row r="32" spans="1:31" x14ac:dyDescent="0.3">
      <c r="A32">
        <v>19</v>
      </c>
      <c r="B32" t="s">
        <v>67</v>
      </c>
      <c r="C32" t="s">
        <v>68</v>
      </c>
      <c r="D32" t="s">
        <v>222</v>
      </c>
      <c r="E32">
        <v>1</v>
      </c>
      <c r="F32" t="s">
        <v>38</v>
      </c>
      <c r="H32">
        <v>0</v>
      </c>
      <c r="I32">
        <v>1</v>
      </c>
      <c r="J32">
        <v>45</v>
      </c>
      <c r="L32" t="str">
        <f t="shared" si="6"/>
        <v/>
      </c>
      <c r="M32" t="s">
        <v>69</v>
      </c>
      <c r="N32">
        <v>8</v>
      </c>
      <c r="O32" t="s">
        <v>40</v>
      </c>
      <c r="P32">
        <v>256</v>
      </c>
      <c r="Q32">
        <v>0</v>
      </c>
      <c r="R32">
        <v>14</v>
      </c>
      <c r="S32">
        <v>3</v>
      </c>
      <c r="T32">
        <v>140</v>
      </c>
      <c r="U32">
        <v>41</v>
      </c>
      <c r="V32" t="s">
        <v>36</v>
      </c>
      <c r="W32">
        <v>3</v>
      </c>
      <c r="X32">
        <v>9.5</v>
      </c>
      <c r="Y32" t="s">
        <v>31</v>
      </c>
      <c r="AA32">
        <f t="shared" si="0"/>
        <v>4.3157894736842106</v>
      </c>
      <c r="AB32">
        <f t="shared" si="1"/>
        <v>-3.123331154995884</v>
      </c>
      <c r="AC32">
        <f t="shared" si="2"/>
        <v>-3.5253164556962027</v>
      </c>
      <c r="AD32">
        <f t="shared" si="3"/>
        <v>6.4638783269961948</v>
      </c>
      <c r="AE32">
        <f t="shared" si="4"/>
        <v>-2.924050632911392</v>
      </c>
    </row>
    <row r="33" spans="1:31" x14ac:dyDescent="0.3">
      <c r="A33">
        <v>25</v>
      </c>
      <c r="B33" t="s">
        <v>80</v>
      </c>
      <c r="C33" t="s">
        <v>68</v>
      </c>
      <c r="D33" t="s">
        <v>183</v>
      </c>
      <c r="E33">
        <v>1</v>
      </c>
      <c r="H33">
        <v>0</v>
      </c>
      <c r="I33">
        <v>1</v>
      </c>
      <c r="J33">
        <v>78</v>
      </c>
      <c r="L33" t="str">
        <f t="shared" si="6"/>
        <v/>
      </c>
      <c r="M33" t="s">
        <v>81</v>
      </c>
      <c r="N33">
        <v>16</v>
      </c>
      <c r="O33" t="s">
        <v>29</v>
      </c>
      <c r="P33">
        <v>512</v>
      </c>
      <c r="Q33">
        <v>1</v>
      </c>
      <c r="R33">
        <v>16</v>
      </c>
      <c r="S33">
        <v>4</v>
      </c>
      <c r="T33">
        <v>179</v>
      </c>
      <c r="U33">
        <v>43</v>
      </c>
      <c r="V33" t="s">
        <v>36</v>
      </c>
      <c r="W33">
        <v>5</v>
      </c>
      <c r="X33">
        <v>8.75</v>
      </c>
      <c r="Y33" t="s">
        <v>31</v>
      </c>
      <c r="AA33">
        <f t="shared" si="0"/>
        <v>4.9142857142857146</v>
      </c>
      <c r="AB33">
        <f t="shared" si="1"/>
        <v>-2.52483491439438</v>
      </c>
      <c r="AC33">
        <f t="shared" si="2"/>
        <v>-2.5253164556962027</v>
      </c>
      <c r="AD33">
        <f t="shared" si="3"/>
        <v>7.8313253012048278</v>
      </c>
      <c r="AE33">
        <f t="shared" si="4"/>
        <v>-0.924050632911392</v>
      </c>
    </row>
    <row r="34" spans="1:31" x14ac:dyDescent="0.3">
      <c r="A34">
        <v>27</v>
      </c>
      <c r="B34" t="s">
        <v>83</v>
      </c>
      <c r="C34" t="s">
        <v>68</v>
      </c>
      <c r="D34" t="s">
        <v>184</v>
      </c>
      <c r="E34">
        <v>1</v>
      </c>
      <c r="H34">
        <v>0</v>
      </c>
      <c r="I34">
        <v>1</v>
      </c>
      <c r="J34">
        <v>126</v>
      </c>
      <c r="L34" t="str">
        <f t="shared" si="6"/>
        <v/>
      </c>
      <c r="M34" t="s">
        <v>81</v>
      </c>
      <c r="N34">
        <v>16</v>
      </c>
      <c r="O34" t="s">
        <v>29</v>
      </c>
      <c r="P34">
        <v>512</v>
      </c>
      <c r="Q34">
        <v>1</v>
      </c>
      <c r="R34">
        <v>14</v>
      </c>
      <c r="S34">
        <v>8</v>
      </c>
      <c r="T34">
        <v>141</v>
      </c>
      <c r="U34">
        <v>59</v>
      </c>
      <c r="V34" t="s">
        <v>30</v>
      </c>
      <c r="W34">
        <v>5</v>
      </c>
      <c r="X34">
        <v>9.25</v>
      </c>
      <c r="Y34" t="s">
        <v>31</v>
      </c>
      <c r="AA34">
        <f t="shared" ref="AA34:AA65" si="7">U34/X34</f>
        <v>6.3783783783783781</v>
      </c>
      <c r="AB34">
        <f t="shared" ref="AB34:AB65" si="8">AA34-(AVERAGE(AA:AA))</f>
        <v>-1.0607422503017165</v>
      </c>
      <c r="AC34">
        <f t="shared" ref="AC34:AC65" si="9">S34-AVERAGE(S:S)</f>
        <v>1.4746835443037973</v>
      </c>
      <c r="AD34">
        <f t="shared" ref="AD34:AD65" si="10">T34/(-110+17.25*R34)*100-100</f>
        <v>7.2243346007604572</v>
      </c>
      <c r="AE34">
        <f t="shared" ref="AE34:AE65" si="11">W34-AVERAGE(W:W)</f>
        <v>-0.924050632911392</v>
      </c>
    </row>
    <row r="35" spans="1:31" x14ac:dyDescent="0.3">
      <c r="A35">
        <v>20</v>
      </c>
      <c r="B35" t="s">
        <v>70</v>
      </c>
      <c r="C35" t="s">
        <v>68</v>
      </c>
      <c r="D35" t="s">
        <v>185</v>
      </c>
      <c r="E35">
        <v>1</v>
      </c>
      <c r="F35" t="s">
        <v>38</v>
      </c>
      <c r="H35">
        <v>0</v>
      </c>
      <c r="I35">
        <v>1</v>
      </c>
      <c r="J35">
        <v>47</v>
      </c>
      <c r="L35" t="str">
        <f t="shared" si="6"/>
        <v/>
      </c>
      <c r="M35" t="s">
        <v>71</v>
      </c>
      <c r="N35">
        <v>8</v>
      </c>
      <c r="O35" t="s">
        <v>40</v>
      </c>
      <c r="P35">
        <v>256</v>
      </c>
      <c r="Q35">
        <v>0</v>
      </c>
      <c r="R35">
        <v>15.6</v>
      </c>
      <c r="S35">
        <v>3</v>
      </c>
      <c r="T35">
        <v>159</v>
      </c>
      <c r="U35">
        <v>41</v>
      </c>
      <c r="V35" t="s">
        <v>36</v>
      </c>
      <c r="W35">
        <v>3</v>
      </c>
      <c r="X35">
        <v>9.75</v>
      </c>
      <c r="Y35" t="s">
        <v>31</v>
      </c>
      <c r="AA35">
        <f t="shared" si="7"/>
        <v>4.2051282051282053</v>
      </c>
      <c r="AB35">
        <f t="shared" si="8"/>
        <v>-3.2339924235518893</v>
      </c>
      <c r="AC35">
        <f t="shared" si="9"/>
        <v>-3.5253164556962027</v>
      </c>
      <c r="AD35">
        <f t="shared" si="10"/>
        <v>-6.285355122562919E-2</v>
      </c>
      <c r="AE35">
        <f t="shared" si="11"/>
        <v>-2.924050632911392</v>
      </c>
    </row>
    <row r="36" spans="1:31" x14ac:dyDescent="0.3">
      <c r="A36">
        <v>21</v>
      </c>
      <c r="B36" t="s">
        <v>72</v>
      </c>
      <c r="C36" t="s">
        <v>68</v>
      </c>
      <c r="D36" t="s">
        <v>186</v>
      </c>
      <c r="E36">
        <v>1</v>
      </c>
      <c r="H36">
        <v>0</v>
      </c>
      <c r="I36">
        <v>1</v>
      </c>
      <c r="J36">
        <v>50</v>
      </c>
      <c r="L36" t="str">
        <f t="shared" si="6"/>
        <v/>
      </c>
      <c r="M36" t="s">
        <v>73</v>
      </c>
      <c r="N36">
        <v>8</v>
      </c>
      <c r="O36" t="s">
        <v>40</v>
      </c>
      <c r="P36">
        <v>256</v>
      </c>
      <c r="Q36">
        <v>0</v>
      </c>
      <c r="R36">
        <v>15.6</v>
      </c>
      <c r="S36">
        <v>2</v>
      </c>
      <c r="T36">
        <v>152</v>
      </c>
      <c r="U36">
        <v>41</v>
      </c>
      <c r="V36" t="s">
        <v>36</v>
      </c>
      <c r="W36">
        <v>3</v>
      </c>
      <c r="X36">
        <v>9</v>
      </c>
      <c r="Y36" t="s">
        <v>31</v>
      </c>
      <c r="AA36">
        <f t="shared" si="7"/>
        <v>4.5555555555555554</v>
      </c>
      <c r="AB36">
        <f t="shared" si="8"/>
        <v>-2.8835650731245392</v>
      </c>
      <c r="AC36">
        <f t="shared" si="9"/>
        <v>-4.5253164556962027</v>
      </c>
      <c r="AD36">
        <f t="shared" si="10"/>
        <v>-4.4626021370207241</v>
      </c>
      <c r="AE36">
        <f t="shared" si="11"/>
        <v>-2.924050632911392</v>
      </c>
    </row>
    <row r="37" spans="1:31" x14ac:dyDescent="0.3">
      <c r="A37">
        <v>24</v>
      </c>
      <c r="B37" t="s">
        <v>79</v>
      </c>
      <c r="C37" t="s">
        <v>68</v>
      </c>
      <c r="D37" t="s">
        <v>187</v>
      </c>
      <c r="E37">
        <v>1</v>
      </c>
      <c r="H37">
        <v>0</v>
      </c>
      <c r="I37">
        <v>1</v>
      </c>
      <c r="J37">
        <v>72</v>
      </c>
      <c r="L37" t="str">
        <f t="shared" si="6"/>
        <v/>
      </c>
      <c r="M37" t="s">
        <v>164</v>
      </c>
      <c r="N37">
        <v>16</v>
      </c>
      <c r="O37" t="s">
        <v>78</v>
      </c>
      <c r="P37">
        <v>256</v>
      </c>
      <c r="Q37">
        <v>1</v>
      </c>
      <c r="R37">
        <v>15.6</v>
      </c>
      <c r="S37">
        <v>3</v>
      </c>
      <c r="T37">
        <v>170</v>
      </c>
      <c r="U37">
        <v>41</v>
      </c>
      <c r="V37" t="s">
        <v>36</v>
      </c>
      <c r="W37">
        <v>5</v>
      </c>
      <c r="X37">
        <v>8.75</v>
      </c>
      <c r="Y37" t="s">
        <v>31</v>
      </c>
      <c r="AA37">
        <f t="shared" si="7"/>
        <v>4.6857142857142859</v>
      </c>
      <c r="AB37">
        <f t="shared" si="8"/>
        <v>-2.7534063429658087</v>
      </c>
      <c r="AC37">
        <f t="shared" si="9"/>
        <v>-3.5253164556962027</v>
      </c>
      <c r="AD37">
        <f t="shared" si="10"/>
        <v>6.8510370835952443</v>
      </c>
      <c r="AE37">
        <f t="shared" si="11"/>
        <v>-0.924050632911392</v>
      </c>
    </row>
    <row r="38" spans="1:31" x14ac:dyDescent="0.3">
      <c r="A38">
        <v>26</v>
      </c>
      <c r="B38" t="s">
        <v>82</v>
      </c>
      <c r="C38" t="s">
        <v>68</v>
      </c>
      <c r="D38" t="s">
        <v>188</v>
      </c>
      <c r="E38">
        <v>1</v>
      </c>
      <c r="H38">
        <v>0</v>
      </c>
      <c r="I38">
        <v>1</v>
      </c>
      <c r="J38">
        <v>133</v>
      </c>
      <c r="L38" t="str">
        <f t="shared" si="6"/>
        <v/>
      </c>
      <c r="M38" t="s">
        <v>55</v>
      </c>
      <c r="N38">
        <v>32</v>
      </c>
      <c r="O38" t="s">
        <v>29</v>
      </c>
      <c r="P38">
        <v>512</v>
      </c>
      <c r="Q38">
        <v>1</v>
      </c>
      <c r="R38">
        <v>13</v>
      </c>
      <c r="S38">
        <v>6</v>
      </c>
      <c r="T38">
        <v>99</v>
      </c>
      <c r="U38">
        <v>43</v>
      </c>
      <c r="V38" t="s">
        <v>36</v>
      </c>
      <c r="W38">
        <v>7</v>
      </c>
      <c r="X38">
        <v>8</v>
      </c>
      <c r="Y38" t="s">
        <v>31</v>
      </c>
      <c r="AA38">
        <f t="shared" si="7"/>
        <v>5.375</v>
      </c>
      <c r="AB38">
        <f t="shared" si="8"/>
        <v>-2.0641206286800946</v>
      </c>
      <c r="AC38">
        <f t="shared" si="9"/>
        <v>-0.52531645569620267</v>
      </c>
      <c r="AD38">
        <f t="shared" si="10"/>
        <v>-13.347921225382933</v>
      </c>
      <c r="AE38">
        <f t="shared" si="11"/>
        <v>1.075949367088608</v>
      </c>
    </row>
    <row r="39" spans="1:31" x14ac:dyDescent="0.3">
      <c r="A39">
        <v>28</v>
      </c>
      <c r="B39" t="s">
        <v>84</v>
      </c>
      <c r="C39" t="s">
        <v>68</v>
      </c>
      <c r="D39" t="s">
        <v>189</v>
      </c>
      <c r="E39">
        <v>1</v>
      </c>
      <c r="H39">
        <v>0</v>
      </c>
      <c r="I39">
        <v>1</v>
      </c>
      <c r="J39">
        <v>107</v>
      </c>
      <c r="L39" t="str">
        <f t="shared" si="6"/>
        <v/>
      </c>
      <c r="M39" t="s">
        <v>63</v>
      </c>
      <c r="N39">
        <v>16</v>
      </c>
      <c r="O39" t="s">
        <v>29</v>
      </c>
      <c r="P39">
        <v>512</v>
      </c>
      <c r="Q39">
        <v>1</v>
      </c>
      <c r="R39">
        <v>14</v>
      </c>
      <c r="S39">
        <v>4</v>
      </c>
      <c r="T39">
        <v>139</v>
      </c>
      <c r="U39">
        <v>59</v>
      </c>
      <c r="V39" t="s">
        <v>36</v>
      </c>
      <c r="W39">
        <v>7</v>
      </c>
      <c r="X39">
        <v>6</v>
      </c>
      <c r="Y39" t="s">
        <v>31</v>
      </c>
      <c r="AA39">
        <f t="shared" si="7"/>
        <v>9.8333333333333339</v>
      </c>
      <c r="AB39">
        <f t="shared" si="8"/>
        <v>2.3942127046532393</v>
      </c>
      <c r="AC39">
        <f t="shared" si="9"/>
        <v>-2.5253164556962027</v>
      </c>
      <c r="AD39">
        <f t="shared" si="10"/>
        <v>5.7034220532319324</v>
      </c>
      <c r="AE39">
        <f t="shared" si="11"/>
        <v>1.075949367088608</v>
      </c>
    </row>
    <row r="40" spans="1:31" x14ac:dyDescent="0.3">
      <c r="A40">
        <v>29</v>
      </c>
      <c r="B40" t="s">
        <v>85</v>
      </c>
      <c r="C40" t="s">
        <v>68</v>
      </c>
      <c r="D40" t="s">
        <v>190</v>
      </c>
      <c r="E40">
        <v>1</v>
      </c>
      <c r="H40">
        <v>0</v>
      </c>
      <c r="I40">
        <v>1</v>
      </c>
      <c r="J40">
        <v>139</v>
      </c>
      <c r="L40" t="str">
        <f t="shared" si="5"/>
        <v/>
      </c>
      <c r="M40" t="s">
        <v>63</v>
      </c>
      <c r="N40">
        <v>16</v>
      </c>
      <c r="O40" t="s">
        <v>29</v>
      </c>
      <c r="P40">
        <v>512</v>
      </c>
      <c r="Q40">
        <v>1</v>
      </c>
      <c r="R40">
        <v>14</v>
      </c>
      <c r="S40">
        <v>8</v>
      </c>
      <c r="T40">
        <v>139</v>
      </c>
      <c r="U40">
        <v>59</v>
      </c>
      <c r="V40" t="s">
        <v>30</v>
      </c>
      <c r="W40">
        <v>7</v>
      </c>
      <c r="X40">
        <v>7.25</v>
      </c>
      <c r="Y40" t="s">
        <v>31</v>
      </c>
      <c r="AA40">
        <f t="shared" si="7"/>
        <v>8.137931034482758</v>
      </c>
      <c r="AB40">
        <f t="shared" si="8"/>
        <v>0.6988104058026634</v>
      </c>
      <c r="AC40">
        <f t="shared" si="9"/>
        <v>1.4746835443037973</v>
      </c>
      <c r="AD40">
        <f t="shared" si="10"/>
        <v>5.7034220532319324</v>
      </c>
      <c r="AE40">
        <f t="shared" si="11"/>
        <v>1.075949367088608</v>
      </c>
    </row>
    <row r="41" spans="1:31" x14ac:dyDescent="0.3">
      <c r="A41">
        <v>31</v>
      </c>
      <c r="B41" t="s">
        <v>87</v>
      </c>
      <c r="C41" t="s">
        <v>68</v>
      </c>
      <c r="D41" t="s">
        <v>191</v>
      </c>
      <c r="E41">
        <v>1</v>
      </c>
      <c r="H41">
        <v>0</v>
      </c>
      <c r="I41">
        <v>1</v>
      </c>
      <c r="J41">
        <v>176</v>
      </c>
      <c r="L41" t="str">
        <f t="shared" si="5"/>
        <v/>
      </c>
      <c r="M41" t="s">
        <v>63</v>
      </c>
      <c r="N41">
        <v>16</v>
      </c>
      <c r="O41" t="s">
        <v>29</v>
      </c>
      <c r="P41">
        <v>1024</v>
      </c>
      <c r="Q41">
        <v>1</v>
      </c>
      <c r="R41">
        <v>14</v>
      </c>
      <c r="S41">
        <v>8</v>
      </c>
      <c r="T41">
        <v>135</v>
      </c>
      <c r="U41">
        <v>64</v>
      </c>
      <c r="V41" t="s">
        <v>30</v>
      </c>
      <c r="W41">
        <v>7</v>
      </c>
      <c r="X41">
        <v>7.25</v>
      </c>
      <c r="Y41" t="s">
        <v>31</v>
      </c>
      <c r="AA41">
        <f t="shared" si="7"/>
        <v>8.8275862068965516</v>
      </c>
      <c r="AB41">
        <f t="shared" si="8"/>
        <v>1.388465578216457</v>
      </c>
      <c r="AC41">
        <f t="shared" si="9"/>
        <v>1.4746835443037973</v>
      </c>
      <c r="AD41">
        <f t="shared" si="10"/>
        <v>2.6615969581748971</v>
      </c>
      <c r="AE41">
        <f t="shared" si="11"/>
        <v>1.075949367088608</v>
      </c>
    </row>
    <row r="42" spans="1:31" x14ac:dyDescent="0.3">
      <c r="A42">
        <v>22</v>
      </c>
      <c r="B42" t="s">
        <v>74</v>
      </c>
      <c r="C42" t="s">
        <v>68</v>
      </c>
      <c r="D42" t="s">
        <v>192</v>
      </c>
      <c r="E42">
        <v>1</v>
      </c>
      <c r="H42">
        <v>0</v>
      </c>
      <c r="I42">
        <v>1</v>
      </c>
      <c r="J42">
        <v>210</v>
      </c>
      <c r="L42" t="str">
        <f t="shared" si="5"/>
        <v/>
      </c>
      <c r="M42" t="s">
        <v>75</v>
      </c>
      <c r="N42">
        <v>32</v>
      </c>
      <c r="O42" t="s">
        <v>29</v>
      </c>
      <c r="P42">
        <v>512</v>
      </c>
      <c r="Q42">
        <v>1</v>
      </c>
      <c r="R42">
        <v>14</v>
      </c>
      <c r="S42">
        <v>8</v>
      </c>
      <c r="T42">
        <v>119</v>
      </c>
      <c r="U42">
        <v>64</v>
      </c>
      <c r="V42" t="s">
        <v>30</v>
      </c>
      <c r="W42">
        <v>7</v>
      </c>
      <c r="X42">
        <v>6.75</v>
      </c>
      <c r="Y42" t="s">
        <v>31</v>
      </c>
      <c r="AA42">
        <f t="shared" si="7"/>
        <v>9.481481481481481</v>
      </c>
      <c r="AB42">
        <f t="shared" si="8"/>
        <v>2.0423608528013864</v>
      </c>
      <c r="AC42">
        <f t="shared" si="9"/>
        <v>1.4746835443037973</v>
      </c>
      <c r="AD42">
        <f t="shared" si="10"/>
        <v>-9.5057034220532302</v>
      </c>
      <c r="AE42">
        <f t="shared" si="11"/>
        <v>1.075949367088608</v>
      </c>
    </row>
    <row r="43" spans="1:31" x14ac:dyDescent="0.3">
      <c r="A43">
        <v>30</v>
      </c>
      <c r="B43" t="s">
        <v>86</v>
      </c>
      <c r="C43" t="s">
        <v>68</v>
      </c>
      <c r="D43" t="s">
        <v>193</v>
      </c>
      <c r="E43">
        <v>1</v>
      </c>
      <c r="H43">
        <v>0</v>
      </c>
      <c r="I43">
        <v>1</v>
      </c>
      <c r="J43">
        <v>160</v>
      </c>
      <c r="L43" t="str">
        <f t="shared" si="5"/>
        <v/>
      </c>
      <c r="M43" t="s">
        <v>28</v>
      </c>
      <c r="N43">
        <v>32</v>
      </c>
      <c r="O43" t="s">
        <v>29</v>
      </c>
      <c r="P43">
        <v>512</v>
      </c>
      <c r="Q43">
        <v>1</v>
      </c>
      <c r="R43">
        <v>14</v>
      </c>
      <c r="S43">
        <v>8</v>
      </c>
      <c r="T43">
        <v>139</v>
      </c>
      <c r="U43">
        <v>59</v>
      </c>
      <c r="V43" t="s">
        <v>30</v>
      </c>
      <c r="W43">
        <v>8</v>
      </c>
      <c r="X43">
        <v>7.25</v>
      </c>
      <c r="Y43" t="s">
        <v>31</v>
      </c>
      <c r="AA43">
        <f t="shared" si="7"/>
        <v>8.137931034482758</v>
      </c>
      <c r="AB43">
        <f t="shared" si="8"/>
        <v>0.6988104058026634</v>
      </c>
      <c r="AC43">
        <f t="shared" si="9"/>
        <v>1.4746835443037973</v>
      </c>
      <c r="AD43">
        <f t="shared" si="10"/>
        <v>5.7034220532319324</v>
      </c>
      <c r="AE43">
        <f t="shared" si="11"/>
        <v>2.075949367088608</v>
      </c>
    </row>
    <row r="44" spans="1:31" x14ac:dyDescent="0.3">
      <c r="A44">
        <v>32</v>
      </c>
      <c r="B44" t="s">
        <v>88</v>
      </c>
      <c r="C44" t="s">
        <v>68</v>
      </c>
      <c r="D44" t="s">
        <v>194</v>
      </c>
      <c r="E44">
        <v>1</v>
      </c>
      <c r="H44">
        <v>0</v>
      </c>
      <c r="I44">
        <v>1</v>
      </c>
      <c r="J44">
        <v>203</v>
      </c>
      <c r="L44" t="str">
        <f t="shared" si="5"/>
        <v/>
      </c>
      <c r="M44" t="s">
        <v>28</v>
      </c>
      <c r="N44">
        <v>32</v>
      </c>
      <c r="O44" t="s">
        <v>29</v>
      </c>
      <c r="P44">
        <v>1024</v>
      </c>
      <c r="Q44">
        <v>1</v>
      </c>
      <c r="R44">
        <v>14</v>
      </c>
      <c r="S44">
        <v>8</v>
      </c>
      <c r="T44">
        <v>135</v>
      </c>
      <c r="U44">
        <v>64</v>
      </c>
      <c r="V44" t="s">
        <v>30</v>
      </c>
      <c r="W44">
        <v>8</v>
      </c>
      <c r="X44">
        <v>7.25</v>
      </c>
      <c r="Y44" t="s">
        <v>31</v>
      </c>
      <c r="AA44">
        <f t="shared" si="7"/>
        <v>8.8275862068965516</v>
      </c>
      <c r="AB44">
        <f t="shared" si="8"/>
        <v>1.388465578216457</v>
      </c>
      <c r="AC44">
        <f t="shared" si="9"/>
        <v>1.4746835443037973</v>
      </c>
      <c r="AD44">
        <f t="shared" si="10"/>
        <v>2.6615969581748971</v>
      </c>
      <c r="AE44">
        <f t="shared" si="11"/>
        <v>2.075949367088608</v>
      </c>
    </row>
    <row r="45" spans="1:31" x14ac:dyDescent="0.3">
      <c r="A45">
        <v>44</v>
      </c>
      <c r="B45" t="s">
        <v>107</v>
      </c>
      <c r="C45" t="s">
        <v>90</v>
      </c>
      <c r="D45" t="s">
        <v>226</v>
      </c>
      <c r="E45">
        <v>1</v>
      </c>
      <c r="H45">
        <v>0</v>
      </c>
      <c r="I45">
        <v>1</v>
      </c>
      <c r="J45">
        <v>43</v>
      </c>
      <c r="L45" t="str">
        <f t="shared" si="5"/>
        <v/>
      </c>
      <c r="M45" t="s">
        <v>77</v>
      </c>
      <c r="N45">
        <v>8</v>
      </c>
      <c r="O45" t="s">
        <v>29</v>
      </c>
      <c r="P45">
        <v>512</v>
      </c>
      <c r="Q45">
        <v>0</v>
      </c>
      <c r="R45">
        <v>15.6</v>
      </c>
      <c r="S45">
        <v>3</v>
      </c>
      <c r="T45">
        <v>162</v>
      </c>
      <c r="U45">
        <v>45</v>
      </c>
      <c r="V45" t="s">
        <v>36</v>
      </c>
      <c r="W45">
        <v>3</v>
      </c>
      <c r="X45">
        <v>10.25</v>
      </c>
      <c r="Y45" t="s">
        <v>31</v>
      </c>
      <c r="AA45">
        <f t="shared" si="7"/>
        <v>4.3902439024390247</v>
      </c>
      <c r="AB45">
        <f t="shared" si="8"/>
        <v>-3.0488767262410699</v>
      </c>
      <c r="AC45">
        <f t="shared" si="9"/>
        <v>-3.5253164556962027</v>
      </c>
      <c r="AD45">
        <f t="shared" si="10"/>
        <v>1.8227529855437012</v>
      </c>
      <c r="AE45">
        <f t="shared" si="11"/>
        <v>-2.924050632911392</v>
      </c>
    </row>
    <row r="46" spans="1:31" x14ac:dyDescent="0.3">
      <c r="A46">
        <v>34</v>
      </c>
      <c r="B46" t="s">
        <v>92</v>
      </c>
      <c r="C46" t="s">
        <v>90</v>
      </c>
      <c r="D46" t="s">
        <v>93</v>
      </c>
      <c r="E46">
        <v>1</v>
      </c>
      <c r="H46">
        <v>0</v>
      </c>
      <c r="I46">
        <v>1</v>
      </c>
      <c r="J46">
        <v>56</v>
      </c>
      <c r="L46" t="str">
        <f t="shared" si="5"/>
        <v/>
      </c>
      <c r="M46" t="s">
        <v>53</v>
      </c>
      <c r="N46">
        <v>16</v>
      </c>
      <c r="O46" t="s">
        <v>29</v>
      </c>
      <c r="P46">
        <v>256</v>
      </c>
      <c r="Q46">
        <v>0</v>
      </c>
      <c r="R46">
        <v>15.6</v>
      </c>
      <c r="S46">
        <v>3</v>
      </c>
      <c r="T46">
        <v>161</v>
      </c>
      <c r="U46">
        <v>47</v>
      </c>
      <c r="V46" t="s">
        <v>36</v>
      </c>
      <c r="W46">
        <v>2</v>
      </c>
      <c r="X46">
        <v>10.5</v>
      </c>
      <c r="Y46" t="s">
        <v>31</v>
      </c>
      <c r="AA46">
        <f t="shared" si="7"/>
        <v>4.4761904761904763</v>
      </c>
      <c r="AB46">
        <f t="shared" si="8"/>
        <v>-2.9629301524896183</v>
      </c>
      <c r="AC46">
        <f t="shared" si="9"/>
        <v>-3.5253164556962027</v>
      </c>
      <c r="AD46">
        <f t="shared" si="10"/>
        <v>1.1942174732872672</v>
      </c>
      <c r="AE46">
        <f t="shared" si="11"/>
        <v>-3.924050632911392</v>
      </c>
    </row>
    <row r="47" spans="1:31" x14ac:dyDescent="0.3">
      <c r="A47">
        <v>33</v>
      </c>
      <c r="B47" t="s">
        <v>89</v>
      </c>
      <c r="C47" t="s">
        <v>90</v>
      </c>
      <c r="D47" t="s">
        <v>195</v>
      </c>
      <c r="E47">
        <v>1</v>
      </c>
      <c r="H47">
        <v>0</v>
      </c>
      <c r="I47">
        <v>1</v>
      </c>
      <c r="J47">
        <v>39</v>
      </c>
      <c r="L47" t="str">
        <f t="shared" si="5"/>
        <v/>
      </c>
      <c r="M47" t="s">
        <v>91</v>
      </c>
      <c r="N47">
        <v>16</v>
      </c>
      <c r="O47" t="s">
        <v>29</v>
      </c>
      <c r="P47">
        <v>256</v>
      </c>
      <c r="Q47">
        <v>0</v>
      </c>
      <c r="R47">
        <v>15.6</v>
      </c>
      <c r="S47">
        <v>3</v>
      </c>
      <c r="T47">
        <v>163</v>
      </c>
      <c r="U47">
        <v>47</v>
      </c>
      <c r="V47" t="s">
        <v>36</v>
      </c>
      <c r="W47">
        <v>1</v>
      </c>
      <c r="X47">
        <v>11.25</v>
      </c>
      <c r="Y47" t="s">
        <v>31</v>
      </c>
      <c r="AA47">
        <f t="shared" si="7"/>
        <v>4.177777777777778</v>
      </c>
      <c r="AB47">
        <f t="shared" si="8"/>
        <v>-3.2613428509023166</v>
      </c>
      <c r="AC47">
        <f t="shared" si="9"/>
        <v>-3.5253164556962027</v>
      </c>
      <c r="AD47">
        <f t="shared" si="10"/>
        <v>2.4512884978001352</v>
      </c>
      <c r="AE47">
        <f t="shared" si="11"/>
        <v>-4.924050632911392</v>
      </c>
    </row>
    <row r="48" spans="1:31" x14ac:dyDescent="0.3">
      <c r="A48">
        <v>45</v>
      </c>
      <c r="B48" t="s">
        <v>108</v>
      </c>
      <c r="C48" t="s">
        <v>90</v>
      </c>
      <c r="D48" t="s">
        <v>196</v>
      </c>
      <c r="E48">
        <v>1</v>
      </c>
      <c r="H48">
        <v>0</v>
      </c>
      <c r="I48">
        <v>1</v>
      </c>
      <c r="J48">
        <v>112</v>
      </c>
      <c r="L48" t="str">
        <f t="shared" si="5"/>
        <v/>
      </c>
      <c r="M48" t="s">
        <v>81</v>
      </c>
      <c r="N48">
        <v>24</v>
      </c>
      <c r="O48" t="s">
        <v>78</v>
      </c>
      <c r="P48">
        <v>512</v>
      </c>
      <c r="Q48">
        <v>1</v>
      </c>
      <c r="R48">
        <v>14</v>
      </c>
      <c r="S48">
        <v>6.5</v>
      </c>
      <c r="T48">
        <v>139</v>
      </c>
      <c r="U48">
        <v>60</v>
      </c>
      <c r="V48" t="s">
        <v>30</v>
      </c>
      <c r="W48">
        <v>5</v>
      </c>
      <c r="X48">
        <v>8.5</v>
      </c>
      <c r="Y48" t="s">
        <v>31</v>
      </c>
      <c r="AA48">
        <f t="shared" si="7"/>
        <v>7.0588235294117645</v>
      </c>
      <c r="AB48">
        <f t="shared" si="8"/>
        <v>-0.38029709926833011</v>
      </c>
      <c r="AC48">
        <f t="shared" si="9"/>
        <v>-2.5316455696202667E-2</v>
      </c>
      <c r="AD48">
        <f t="shared" si="10"/>
        <v>5.7034220532319324</v>
      </c>
      <c r="AE48">
        <f t="shared" si="11"/>
        <v>-0.924050632911392</v>
      </c>
    </row>
    <row r="49" spans="1:31" x14ac:dyDescent="0.3">
      <c r="A49">
        <v>48</v>
      </c>
      <c r="B49" t="s">
        <v>111</v>
      </c>
      <c r="C49" t="s">
        <v>90</v>
      </c>
      <c r="D49" t="s">
        <v>197</v>
      </c>
      <c r="E49">
        <v>1</v>
      </c>
      <c r="H49">
        <v>0</v>
      </c>
      <c r="I49">
        <v>1</v>
      </c>
      <c r="J49">
        <v>120</v>
      </c>
      <c r="L49" t="str">
        <f t="shared" si="5"/>
        <v/>
      </c>
      <c r="M49" t="s">
        <v>81</v>
      </c>
      <c r="N49">
        <v>24</v>
      </c>
      <c r="O49" t="s">
        <v>78</v>
      </c>
      <c r="P49">
        <v>512</v>
      </c>
      <c r="Q49">
        <v>0</v>
      </c>
      <c r="R49">
        <v>16</v>
      </c>
      <c r="S49">
        <v>8</v>
      </c>
      <c r="T49">
        <v>169</v>
      </c>
      <c r="U49">
        <v>60</v>
      </c>
      <c r="V49" t="s">
        <v>30</v>
      </c>
      <c r="W49">
        <v>5</v>
      </c>
      <c r="X49">
        <v>10</v>
      </c>
      <c r="Y49" t="s">
        <v>31</v>
      </c>
      <c r="AA49">
        <f t="shared" si="7"/>
        <v>6</v>
      </c>
      <c r="AB49">
        <f t="shared" si="8"/>
        <v>-1.4391206286800946</v>
      </c>
      <c r="AC49">
        <f t="shared" si="9"/>
        <v>1.4746835443037973</v>
      </c>
      <c r="AD49">
        <f t="shared" si="10"/>
        <v>1.8072289156626482</v>
      </c>
      <c r="AE49">
        <f t="shared" si="11"/>
        <v>-0.924050632911392</v>
      </c>
    </row>
    <row r="50" spans="1:31" x14ac:dyDescent="0.3">
      <c r="A50">
        <v>46</v>
      </c>
      <c r="B50" t="s">
        <v>109</v>
      </c>
      <c r="C50" t="s">
        <v>90</v>
      </c>
      <c r="D50" t="s">
        <v>198</v>
      </c>
      <c r="E50">
        <v>1</v>
      </c>
      <c r="H50">
        <v>0</v>
      </c>
      <c r="I50">
        <v>1</v>
      </c>
      <c r="J50">
        <v>126</v>
      </c>
      <c r="L50" t="str">
        <f t="shared" ref="L50:L59" si="12">IF(Y50&lt;&gt;"쿠팡", ((K50-J50)/J50)*100, "")</f>
        <v/>
      </c>
      <c r="M50" t="s">
        <v>157</v>
      </c>
      <c r="N50">
        <v>32</v>
      </c>
      <c r="O50" t="s">
        <v>78</v>
      </c>
      <c r="P50">
        <v>512</v>
      </c>
      <c r="Q50">
        <v>1</v>
      </c>
      <c r="R50">
        <v>14</v>
      </c>
      <c r="S50">
        <v>6.5</v>
      </c>
      <c r="T50">
        <v>139</v>
      </c>
      <c r="U50">
        <v>60</v>
      </c>
      <c r="V50" t="s">
        <v>30</v>
      </c>
      <c r="W50">
        <v>7</v>
      </c>
      <c r="X50">
        <v>8.5</v>
      </c>
      <c r="Y50" t="s">
        <v>31</v>
      </c>
      <c r="AA50">
        <f t="shared" si="7"/>
        <v>7.0588235294117645</v>
      </c>
      <c r="AB50">
        <f t="shared" si="8"/>
        <v>-0.38029709926833011</v>
      </c>
      <c r="AC50">
        <f t="shared" si="9"/>
        <v>-2.5316455696202667E-2</v>
      </c>
      <c r="AD50">
        <f t="shared" si="10"/>
        <v>5.7034220532319324</v>
      </c>
      <c r="AE50">
        <f t="shared" si="11"/>
        <v>1.075949367088608</v>
      </c>
    </row>
    <row r="51" spans="1:31" x14ac:dyDescent="0.3">
      <c r="A51">
        <v>52</v>
      </c>
      <c r="B51" t="s">
        <v>115</v>
      </c>
      <c r="C51" t="s">
        <v>90</v>
      </c>
      <c r="D51" t="s">
        <v>234</v>
      </c>
      <c r="E51">
        <v>1</v>
      </c>
      <c r="H51">
        <v>0</v>
      </c>
      <c r="I51">
        <v>1</v>
      </c>
      <c r="J51">
        <v>133</v>
      </c>
      <c r="L51" t="str">
        <f t="shared" si="12"/>
        <v/>
      </c>
      <c r="M51" t="s">
        <v>157</v>
      </c>
      <c r="N51">
        <v>16</v>
      </c>
      <c r="O51" t="s">
        <v>29</v>
      </c>
      <c r="P51">
        <v>512</v>
      </c>
      <c r="Q51">
        <v>1</v>
      </c>
      <c r="R51">
        <v>16</v>
      </c>
      <c r="S51">
        <v>7</v>
      </c>
      <c r="T51">
        <v>190</v>
      </c>
      <c r="U51">
        <v>57</v>
      </c>
      <c r="V51" t="s">
        <v>30</v>
      </c>
      <c r="W51">
        <v>7</v>
      </c>
      <c r="X51">
        <v>10</v>
      </c>
      <c r="Y51" t="s">
        <v>31</v>
      </c>
      <c r="AA51">
        <f t="shared" si="7"/>
        <v>5.7</v>
      </c>
      <c r="AB51">
        <f t="shared" si="8"/>
        <v>-1.7391206286800944</v>
      </c>
      <c r="AC51">
        <f t="shared" si="9"/>
        <v>0.47468354430379733</v>
      </c>
      <c r="AD51">
        <f t="shared" si="10"/>
        <v>14.457831325301214</v>
      </c>
      <c r="AE51">
        <f t="shared" si="11"/>
        <v>1.075949367088608</v>
      </c>
    </row>
    <row r="52" spans="1:31" x14ac:dyDescent="0.3">
      <c r="A52">
        <v>43</v>
      </c>
      <c r="B52" t="s">
        <v>105</v>
      </c>
      <c r="C52" t="s">
        <v>90</v>
      </c>
      <c r="D52" t="s">
        <v>168</v>
      </c>
      <c r="E52">
        <v>1</v>
      </c>
      <c r="F52" t="s">
        <v>38</v>
      </c>
      <c r="H52">
        <v>0</v>
      </c>
      <c r="I52">
        <v>1</v>
      </c>
      <c r="J52">
        <v>72</v>
      </c>
      <c r="L52" t="str">
        <f t="shared" si="12"/>
        <v/>
      </c>
      <c r="M52" t="s">
        <v>106</v>
      </c>
      <c r="N52">
        <v>8</v>
      </c>
      <c r="O52" t="s">
        <v>40</v>
      </c>
      <c r="P52">
        <v>256</v>
      </c>
      <c r="Q52">
        <v>1</v>
      </c>
      <c r="R52">
        <v>15.1</v>
      </c>
      <c r="S52">
        <v>8</v>
      </c>
      <c r="T52">
        <v>151</v>
      </c>
      <c r="U52">
        <v>60</v>
      </c>
      <c r="V52" t="s">
        <v>30</v>
      </c>
      <c r="W52">
        <v>5</v>
      </c>
      <c r="X52">
        <v>11.5</v>
      </c>
      <c r="Y52" t="s">
        <v>31</v>
      </c>
      <c r="AA52">
        <f t="shared" si="7"/>
        <v>5.2173913043478262</v>
      </c>
      <c r="AB52">
        <f t="shared" si="8"/>
        <v>-2.2217293243322684</v>
      </c>
      <c r="AC52">
        <f t="shared" si="9"/>
        <v>1.4746835443037973</v>
      </c>
      <c r="AD52">
        <f t="shared" si="10"/>
        <v>0.34889516530986953</v>
      </c>
      <c r="AE52">
        <f t="shared" si="11"/>
        <v>-0.924050632911392</v>
      </c>
    </row>
    <row r="53" spans="1:31" x14ac:dyDescent="0.3">
      <c r="A53">
        <v>35</v>
      </c>
      <c r="B53" t="s">
        <v>94</v>
      </c>
      <c r="C53" t="s">
        <v>90</v>
      </c>
      <c r="D53" t="s">
        <v>199</v>
      </c>
      <c r="E53">
        <v>1</v>
      </c>
      <c r="H53">
        <v>0</v>
      </c>
      <c r="I53">
        <v>1</v>
      </c>
      <c r="J53">
        <v>64</v>
      </c>
      <c r="L53" t="str">
        <f t="shared" si="12"/>
        <v/>
      </c>
      <c r="M53" t="s">
        <v>95</v>
      </c>
      <c r="N53">
        <v>16</v>
      </c>
      <c r="O53" t="s">
        <v>40</v>
      </c>
      <c r="P53">
        <v>512</v>
      </c>
      <c r="Q53">
        <v>0</v>
      </c>
      <c r="R53">
        <v>14</v>
      </c>
      <c r="S53">
        <v>6</v>
      </c>
      <c r="T53">
        <v>150</v>
      </c>
      <c r="U53">
        <v>60</v>
      </c>
      <c r="V53" t="s">
        <v>36</v>
      </c>
      <c r="W53">
        <v>5</v>
      </c>
      <c r="X53">
        <v>9.5</v>
      </c>
      <c r="Y53" t="s">
        <v>31</v>
      </c>
      <c r="AA53">
        <f t="shared" si="7"/>
        <v>6.3157894736842106</v>
      </c>
      <c r="AB53">
        <f t="shared" si="8"/>
        <v>-1.123331154995884</v>
      </c>
      <c r="AC53">
        <f t="shared" si="9"/>
        <v>-0.52531645569620267</v>
      </c>
      <c r="AD53">
        <f t="shared" si="10"/>
        <v>14.068441064638776</v>
      </c>
      <c r="AE53">
        <f t="shared" si="11"/>
        <v>-0.924050632911392</v>
      </c>
    </row>
    <row r="54" spans="1:31" x14ac:dyDescent="0.3">
      <c r="A54">
        <v>37</v>
      </c>
      <c r="B54" t="s">
        <v>98</v>
      </c>
      <c r="C54" t="s">
        <v>90</v>
      </c>
      <c r="D54" t="s">
        <v>200</v>
      </c>
      <c r="E54">
        <v>1</v>
      </c>
      <c r="H54">
        <v>0</v>
      </c>
      <c r="I54">
        <v>1</v>
      </c>
      <c r="J54">
        <v>69</v>
      </c>
      <c r="L54" t="str">
        <f t="shared" si="12"/>
        <v/>
      </c>
      <c r="M54" t="s">
        <v>95</v>
      </c>
      <c r="N54">
        <v>16</v>
      </c>
      <c r="O54" t="s">
        <v>40</v>
      </c>
      <c r="P54">
        <v>512</v>
      </c>
      <c r="Q54">
        <v>1</v>
      </c>
      <c r="R54">
        <v>16</v>
      </c>
      <c r="S54">
        <v>6</v>
      </c>
      <c r="T54">
        <v>180</v>
      </c>
      <c r="U54">
        <v>70</v>
      </c>
      <c r="V54" t="s">
        <v>36</v>
      </c>
      <c r="W54">
        <v>5</v>
      </c>
      <c r="X54">
        <v>10.25</v>
      </c>
      <c r="Y54" t="s">
        <v>31</v>
      </c>
      <c r="AA54">
        <f t="shared" si="7"/>
        <v>6.8292682926829267</v>
      </c>
      <c r="AB54">
        <f t="shared" si="8"/>
        <v>-0.60985233599716793</v>
      </c>
      <c r="AC54">
        <f t="shared" si="9"/>
        <v>-0.52531645569620267</v>
      </c>
      <c r="AD54">
        <f t="shared" si="10"/>
        <v>8.4337349397590344</v>
      </c>
      <c r="AE54">
        <f t="shared" si="11"/>
        <v>-0.924050632911392</v>
      </c>
    </row>
    <row r="55" spans="1:31" x14ac:dyDescent="0.3">
      <c r="A55">
        <v>40</v>
      </c>
      <c r="B55" t="s">
        <v>101</v>
      </c>
      <c r="C55" t="s">
        <v>90</v>
      </c>
      <c r="D55" t="s">
        <v>201</v>
      </c>
      <c r="E55">
        <v>1</v>
      </c>
      <c r="F55" t="s">
        <v>38</v>
      </c>
      <c r="H55">
        <v>0</v>
      </c>
      <c r="I55">
        <v>1</v>
      </c>
      <c r="J55">
        <v>69</v>
      </c>
      <c r="L55" t="str">
        <f t="shared" si="12"/>
        <v/>
      </c>
      <c r="M55" t="s">
        <v>102</v>
      </c>
      <c r="N55">
        <v>8</v>
      </c>
      <c r="O55" t="s">
        <v>40</v>
      </c>
      <c r="P55">
        <v>256</v>
      </c>
      <c r="Q55">
        <v>0</v>
      </c>
      <c r="R55">
        <v>14</v>
      </c>
      <c r="S55">
        <v>6.5</v>
      </c>
      <c r="T55">
        <v>133</v>
      </c>
      <c r="U55">
        <v>60</v>
      </c>
      <c r="V55" t="s">
        <v>30</v>
      </c>
      <c r="W55">
        <v>6</v>
      </c>
      <c r="X55">
        <v>9.25</v>
      </c>
      <c r="Y55" t="s">
        <v>31</v>
      </c>
      <c r="AA55">
        <f t="shared" si="7"/>
        <v>6.4864864864864868</v>
      </c>
      <c r="AB55">
        <f t="shared" si="8"/>
        <v>-0.95263414219360776</v>
      </c>
      <c r="AC55">
        <f t="shared" si="9"/>
        <v>-2.5316455696202667E-2</v>
      </c>
      <c r="AD55">
        <f t="shared" si="10"/>
        <v>1.1406844106463865</v>
      </c>
      <c r="AE55">
        <f t="shared" si="11"/>
        <v>7.5949367088608E-2</v>
      </c>
    </row>
    <row r="56" spans="1:31" x14ac:dyDescent="0.3">
      <c r="A56">
        <v>41</v>
      </c>
      <c r="B56" t="s">
        <v>103</v>
      </c>
      <c r="C56" t="s">
        <v>90</v>
      </c>
      <c r="D56" t="s">
        <v>202</v>
      </c>
      <c r="E56">
        <v>1</v>
      </c>
      <c r="F56" t="s">
        <v>38</v>
      </c>
      <c r="H56">
        <v>0</v>
      </c>
      <c r="I56">
        <v>1</v>
      </c>
      <c r="J56">
        <v>80</v>
      </c>
      <c r="L56" t="str">
        <f t="shared" si="12"/>
        <v/>
      </c>
      <c r="M56" t="s">
        <v>102</v>
      </c>
      <c r="N56">
        <v>8</v>
      </c>
      <c r="O56" t="s">
        <v>40</v>
      </c>
      <c r="P56">
        <v>256</v>
      </c>
      <c r="Q56">
        <v>0</v>
      </c>
      <c r="R56">
        <v>15.1</v>
      </c>
      <c r="S56">
        <v>8</v>
      </c>
      <c r="T56">
        <v>151</v>
      </c>
      <c r="U56">
        <v>60</v>
      </c>
      <c r="V56" t="s">
        <v>30</v>
      </c>
      <c r="W56">
        <v>6</v>
      </c>
      <c r="X56">
        <v>10.75</v>
      </c>
      <c r="Y56" t="s">
        <v>31</v>
      </c>
      <c r="AA56">
        <f t="shared" si="7"/>
        <v>5.5813953488372094</v>
      </c>
      <c r="AB56">
        <f t="shared" si="8"/>
        <v>-1.8577252798428852</v>
      </c>
      <c r="AC56">
        <f t="shared" si="9"/>
        <v>1.4746835443037973</v>
      </c>
      <c r="AD56">
        <f t="shared" si="10"/>
        <v>0.34889516530986953</v>
      </c>
      <c r="AE56">
        <f t="shared" si="11"/>
        <v>7.5949367088608E-2</v>
      </c>
    </row>
    <row r="57" spans="1:31" x14ac:dyDescent="0.3">
      <c r="A57">
        <v>42</v>
      </c>
      <c r="B57" t="s">
        <v>104</v>
      </c>
      <c r="C57" t="s">
        <v>90</v>
      </c>
      <c r="D57" t="s">
        <v>203</v>
      </c>
      <c r="E57">
        <v>1</v>
      </c>
      <c r="F57" t="s">
        <v>38</v>
      </c>
      <c r="H57">
        <v>0</v>
      </c>
      <c r="I57">
        <v>1</v>
      </c>
      <c r="J57">
        <v>69</v>
      </c>
      <c r="L57" t="str">
        <f t="shared" si="12"/>
        <v/>
      </c>
      <c r="M57" t="s">
        <v>102</v>
      </c>
      <c r="N57">
        <v>16</v>
      </c>
      <c r="O57" t="s">
        <v>78</v>
      </c>
      <c r="P57">
        <v>256</v>
      </c>
      <c r="Q57">
        <v>0</v>
      </c>
      <c r="R57">
        <v>15.3</v>
      </c>
      <c r="S57">
        <v>4</v>
      </c>
      <c r="T57">
        <v>163</v>
      </c>
      <c r="U57">
        <v>60</v>
      </c>
      <c r="V57" t="s">
        <v>36</v>
      </c>
      <c r="W57">
        <v>6</v>
      </c>
      <c r="X57">
        <v>10.25</v>
      </c>
      <c r="Y57" t="s">
        <v>31</v>
      </c>
      <c r="AA57">
        <f t="shared" si="7"/>
        <v>5.8536585365853657</v>
      </c>
      <c r="AB57">
        <f t="shared" si="8"/>
        <v>-1.5854620920947289</v>
      </c>
      <c r="AC57">
        <f t="shared" si="9"/>
        <v>-2.5253164556962027</v>
      </c>
      <c r="AD57">
        <f t="shared" si="10"/>
        <v>5.895728439174917</v>
      </c>
      <c r="AE57">
        <f t="shared" si="11"/>
        <v>7.5949367088608E-2</v>
      </c>
    </row>
    <row r="58" spans="1:31" x14ac:dyDescent="0.3">
      <c r="A58">
        <v>49</v>
      </c>
      <c r="B58" t="s">
        <v>112</v>
      </c>
      <c r="C58" t="s">
        <v>90</v>
      </c>
      <c r="D58" t="s">
        <v>204</v>
      </c>
      <c r="E58">
        <v>1</v>
      </c>
      <c r="H58">
        <v>0</v>
      </c>
      <c r="I58">
        <v>1</v>
      </c>
      <c r="J58">
        <v>125</v>
      </c>
      <c r="L58" t="str">
        <f t="shared" si="12"/>
        <v/>
      </c>
      <c r="M58" t="s">
        <v>55</v>
      </c>
      <c r="N58">
        <v>32</v>
      </c>
      <c r="O58" t="s">
        <v>78</v>
      </c>
      <c r="P58">
        <v>512</v>
      </c>
      <c r="Q58">
        <v>1</v>
      </c>
      <c r="R58">
        <v>16</v>
      </c>
      <c r="S58">
        <v>8</v>
      </c>
      <c r="T58">
        <v>169</v>
      </c>
      <c r="U58">
        <v>60</v>
      </c>
      <c r="V58" t="s">
        <v>30</v>
      </c>
      <c r="W58">
        <v>7</v>
      </c>
      <c r="X58">
        <v>10</v>
      </c>
      <c r="Y58" t="s">
        <v>31</v>
      </c>
      <c r="AA58">
        <f t="shared" si="7"/>
        <v>6</v>
      </c>
      <c r="AB58">
        <f t="shared" si="8"/>
        <v>-1.4391206286800946</v>
      </c>
      <c r="AC58">
        <f t="shared" si="9"/>
        <v>1.4746835443037973</v>
      </c>
      <c r="AD58">
        <f t="shared" si="10"/>
        <v>1.8072289156626482</v>
      </c>
      <c r="AE58">
        <f t="shared" si="11"/>
        <v>1.075949367088608</v>
      </c>
    </row>
    <row r="59" spans="1:31" x14ac:dyDescent="0.3">
      <c r="A59">
        <v>36</v>
      </c>
      <c r="B59" t="s">
        <v>96</v>
      </c>
      <c r="C59" t="s">
        <v>90</v>
      </c>
      <c r="D59" t="s">
        <v>231</v>
      </c>
      <c r="E59">
        <v>1</v>
      </c>
      <c r="H59">
        <v>0</v>
      </c>
      <c r="I59">
        <v>1</v>
      </c>
      <c r="J59">
        <v>74</v>
      </c>
      <c r="L59" t="str">
        <f t="shared" si="12"/>
        <v/>
      </c>
      <c r="M59" t="s">
        <v>97</v>
      </c>
      <c r="N59">
        <v>16</v>
      </c>
      <c r="O59" t="s">
        <v>40</v>
      </c>
      <c r="P59">
        <v>512</v>
      </c>
      <c r="Q59">
        <v>0</v>
      </c>
      <c r="R59">
        <v>14</v>
      </c>
      <c r="S59">
        <v>6</v>
      </c>
      <c r="T59">
        <v>150</v>
      </c>
      <c r="U59">
        <v>60</v>
      </c>
      <c r="V59" t="s">
        <v>36</v>
      </c>
      <c r="W59">
        <v>5</v>
      </c>
      <c r="X59">
        <v>9.5</v>
      </c>
      <c r="Y59" t="s">
        <v>31</v>
      </c>
      <c r="AA59">
        <f t="shared" si="7"/>
        <v>6.3157894736842106</v>
      </c>
      <c r="AB59">
        <f t="shared" si="8"/>
        <v>-1.123331154995884</v>
      </c>
      <c r="AC59">
        <f t="shared" si="9"/>
        <v>-0.52531645569620267</v>
      </c>
      <c r="AD59">
        <f t="shared" si="10"/>
        <v>14.068441064638776</v>
      </c>
      <c r="AE59">
        <f t="shared" si="11"/>
        <v>-0.924050632911392</v>
      </c>
    </row>
    <row r="60" spans="1:31" x14ac:dyDescent="0.3">
      <c r="A60">
        <v>38</v>
      </c>
      <c r="B60" t="s">
        <v>99</v>
      </c>
      <c r="C60" t="s">
        <v>90</v>
      </c>
      <c r="D60" t="s">
        <v>232</v>
      </c>
      <c r="E60">
        <v>1</v>
      </c>
      <c r="H60">
        <v>0</v>
      </c>
      <c r="I60">
        <v>1</v>
      </c>
      <c r="J60">
        <v>80</v>
      </c>
      <c r="L60" t="str">
        <f t="shared" si="5"/>
        <v/>
      </c>
      <c r="M60" t="s">
        <v>97</v>
      </c>
      <c r="N60">
        <v>16</v>
      </c>
      <c r="O60" t="s">
        <v>40</v>
      </c>
      <c r="P60">
        <v>512</v>
      </c>
      <c r="Q60">
        <v>0</v>
      </c>
      <c r="R60">
        <v>16</v>
      </c>
      <c r="S60">
        <v>6</v>
      </c>
      <c r="T60">
        <v>180</v>
      </c>
      <c r="U60">
        <v>70</v>
      </c>
      <c r="V60" t="s">
        <v>36</v>
      </c>
      <c r="W60">
        <v>5</v>
      </c>
      <c r="X60">
        <v>10.25</v>
      </c>
      <c r="Y60" t="s">
        <v>31</v>
      </c>
      <c r="AA60">
        <f t="shared" si="7"/>
        <v>6.8292682926829267</v>
      </c>
      <c r="AB60">
        <f t="shared" si="8"/>
        <v>-0.60985233599716793</v>
      </c>
      <c r="AC60">
        <f t="shared" si="9"/>
        <v>-0.52531645569620267</v>
      </c>
      <c r="AD60">
        <f t="shared" si="10"/>
        <v>8.4337349397590344</v>
      </c>
      <c r="AE60">
        <f t="shared" si="11"/>
        <v>-0.924050632911392</v>
      </c>
    </row>
    <row r="61" spans="1:31" x14ac:dyDescent="0.3">
      <c r="A61">
        <v>39</v>
      </c>
      <c r="B61" t="s">
        <v>100</v>
      </c>
      <c r="C61" t="s">
        <v>90</v>
      </c>
      <c r="D61" t="s">
        <v>205</v>
      </c>
      <c r="E61">
        <v>1</v>
      </c>
      <c r="H61">
        <v>0</v>
      </c>
      <c r="I61">
        <v>1</v>
      </c>
      <c r="J61">
        <v>123</v>
      </c>
      <c r="L61" t="str">
        <f t="shared" si="5"/>
        <v/>
      </c>
      <c r="M61" t="s">
        <v>33</v>
      </c>
      <c r="N61">
        <v>16</v>
      </c>
      <c r="O61" t="s">
        <v>40</v>
      </c>
      <c r="P61">
        <v>1024</v>
      </c>
      <c r="Q61">
        <v>0</v>
      </c>
      <c r="R61">
        <v>16</v>
      </c>
      <c r="S61">
        <v>7</v>
      </c>
      <c r="T61">
        <v>180</v>
      </c>
      <c r="U61">
        <v>71</v>
      </c>
      <c r="V61" t="s">
        <v>36</v>
      </c>
      <c r="W61">
        <v>7</v>
      </c>
      <c r="X61">
        <v>9.5</v>
      </c>
      <c r="Y61" t="s">
        <v>31</v>
      </c>
      <c r="AA61">
        <f t="shared" si="7"/>
        <v>7.4736842105263159</v>
      </c>
      <c r="AB61">
        <f t="shared" si="8"/>
        <v>3.4563581846221325E-2</v>
      </c>
      <c r="AC61">
        <f t="shared" si="9"/>
        <v>0.47468354430379733</v>
      </c>
      <c r="AD61">
        <f t="shared" si="10"/>
        <v>8.4337349397590344</v>
      </c>
      <c r="AE61">
        <f t="shared" si="11"/>
        <v>1.075949367088608</v>
      </c>
    </row>
    <row r="62" spans="1:31" x14ac:dyDescent="0.3">
      <c r="A62">
        <v>47</v>
      </c>
      <c r="B62" t="s">
        <v>110</v>
      </c>
      <c r="C62" t="s">
        <v>90</v>
      </c>
      <c r="D62" t="s">
        <v>206</v>
      </c>
      <c r="E62">
        <v>1</v>
      </c>
      <c r="H62">
        <v>0</v>
      </c>
      <c r="I62">
        <v>1</v>
      </c>
      <c r="J62">
        <v>107</v>
      </c>
      <c r="L62" t="str">
        <f t="shared" si="5"/>
        <v/>
      </c>
      <c r="M62" t="s">
        <v>33</v>
      </c>
      <c r="N62">
        <v>24</v>
      </c>
      <c r="O62" t="s">
        <v>78</v>
      </c>
      <c r="P62">
        <v>512</v>
      </c>
      <c r="Q62">
        <v>0</v>
      </c>
      <c r="R62">
        <v>14</v>
      </c>
      <c r="S62">
        <v>6.5</v>
      </c>
      <c r="T62">
        <v>139</v>
      </c>
      <c r="U62">
        <v>60</v>
      </c>
      <c r="V62" t="s">
        <v>30</v>
      </c>
      <c r="W62">
        <v>7</v>
      </c>
      <c r="X62">
        <v>8.5</v>
      </c>
      <c r="Y62" t="s">
        <v>31</v>
      </c>
      <c r="AA62">
        <f t="shared" si="7"/>
        <v>7.0588235294117645</v>
      </c>
      <c r="AB62">
        <f t="shared" si="8"/>
        <v>-0.38029709926833011</v>
      </c>
      <c r="AC62">
        <f t="shared" si="9"/>
        <v>-2.5316455696202667E-2</v>
      </c>
      <c r="AD62">
        <f t="shared" si="10"/>
        <v>5.7034220532319324</v>
      </c>
      <c r="AE62">
        <f t="shared" si="11"/>
        <v>1.075949367088608</v>
      </c>
    </row>
    <row r="63" spans="1:31" x14ac:dyDescent="0.3">
      <c r="A63">
        <v>50</v>
      </c>
      <c r="B63" t="s">
        <v>113</v>
      </c>
      <c r="C63" t="s">
        <v>90</v>
      </c>
      <c r="D63" t="s">
        <v>169</v>
      </c>
      <c r="E63">
        <v>1</v>
      </c>
      <c r="H63">
        <v>0</v>
      </c>
      <c r="I63">
        <v>1</v>
      </c>
      <c r="J63">
        <v>115</v>
      </c>
      <c r="L63" t="str">
        <f t="shared" si="5"/>
        <v/>
      </c>
      <c r="M63" t="s">
        <v>33</v>
      </c>
      <c r="N63">
        <v>24</v>
      </c>
      <c r="O63" t="s">
        <v>78</v>
      </c>
      <c r="P63">
        <v>512</v>
      </c>
      <c r="Q63">
        <v>0</v>
      </c>
      <c r="R63">
        <v>16</v>
      </c>
      <c r="S63">
        <v>8</v>
      </c>
      <c r="T63">
        <v>169</v>
      </c>
      <c r="U63">
        <v>60</v>
      </c>
      <c r="V63" t="s">
        <v>30</v>
      </c>
      <c r="W63">
        <v>7</v>
      </c>
      <c r="X63">
        <v>10</v>
      </c>
      <c r="Y63" t="s">
        <v>31</v>
      </c>
      <c r="AA63">
        <f t="shared" si="7"/>
        <v>6</v>
      </c>
      <c r="AB63">
        <f t="shared" si="8"/>
        <v>-1.4391206286800946</v>
      </c>
      <c r="AC63">
        <f t="shared" si="9"/>
        <v>1.4746835443037973</v>
      </c>
      <c r="AD63">
        <f t="shared" si="10"/>
        <v>1.8072289156626482</v>
      </c>
      <c r="AE63">
        <f t="shared" si="11"/>
        <v>1.075949367088608</v>
      </c>
    </row>
    <row r="64" spans="1:31" x14ac:dyDescent="0.3">
      <c r="A64">
        <v>53</v>
      </c>
      <c r="B64" t="s">
        <v>116</v>
      </c>
      <c r="C64" t="s">
        <v>90</v>
      </c>
      <c r="D64" t="s">
        <v>227</v>
      </c>
      <c r="E64">
        <v>1</v>
      </c>
      <c r="F64" t="s">
        <v>117</v>
      </c>
      <c r="H64">
        <v>0</v>
      </c>
      <c r="I64">
        <v>1</v>
      </c>
      <c r="J64">
        <v>160</v>
      </c>
      <c r="L64" t="str">
        <f t="shared" si="5"/>
        <v/>
      </c>
      <c r="M64" t="s">
        <v>75</v>
      </c>
      <c r="N64">
        <v>32</v>
      </c>
      <c r="O64" t="s">
        <v>29</v>
      </c>
      <c r="P64">
        <v>512</v>
      </c>
      <c r="Q64">
        <v>1</v>
      </c>
      <c r="R64">
        <v>14</v>
      </c>
      <c r="S64">
        <v>8</v>
      </c>
      <c r="T64">
        <v>138</v>
      </c>
      <c r="U64">
        <v>70</v>
      </c>
      <c r="V64" t="s">
        <v>30</v>
      </c>
      <c r="W64">
        <v>7</v>
      </c>
      <c r="X64">
        <v>7.25</v>
      </c>
      <c r="Y64" t="s">
        <v>31</v>
      </c>
      <c r="AA64">
        <f t="shared" si="7"/>
        <v>9.6551724137931032</v>
      </c>
      <c r="AB64">
        <f t="shared" si="8"/>
        <v>2.2160517851130086</v>
      </c>
      <c r="AC64">
        <f t="shared" si="9"/>
        <v>1.4746835443037973</v>
      </c>
      <c r="AD64">
        <f t="shared" si="10"/>
        <v>4.9429657794676842</v>
      </c>
      <c r="AE64">
        <f t="shared" si="11"/>
        <v>1.075949367088608</v>
      </c>
    </row>
    <row r="65" spans="1:31" x14ac:dyDescent="0.3">
      <c r="A65">
        <v>54</v>
      </c>
      <c r="B65" t="s">
        <v>118</v>
      </c>
      <c r="C65" t="s">
        <v>90</v>
      </c>
      <c r="D65" t="s">
        <v>227</v>
      </c>
      <c r="E65">
        <v>2</v>
      </c>
      <c r="F65" t="s">
        <v>119</v>
      </c>
      <c r="H65">
        <v>0</v>
      </c>
      <c r="I65">
        <v>1</v>
      </c>
      <c r="J65">
        <v>168</v>
      </c>
      <c r="L65" t="str">
        <f t="shared" si="5"/>
        <v/>
      </c>
      <c r="M65" t="s">
        <v>75</v>
      </c>
      <c r="N65">
        <v>32</v>
      </c>
      <c r="O65" t="s">
        <v>29</v>
      </c>
      <c r="P65">
        <v>1024</v>
      </c>
      <c r="Q65">
        <v>1</v>
      </c>
      <c r="R65">
        <v>14</v>
      </c>
      <c r="S65">
        <v>8</v>
      </c>
      <c r="T65">
        <v>138</v>
      </c>
      <c r="U65">
        <v>70</v>
      </c>
      <c r="V65" t="s">
        <v>30</v>
      </c>
      <c r="W65">
        <v>7</v>
      </c>
      <c r="X65">
        <v>7.25</v>
      </c>
      <c r="Y65" t="s">
        <v>31</v>
      </c>
      <c r="AA65">
        <f t="shared" si="7"/>
        <v>9.6551724137931032</v>
      </c>
      <c r="AB65">
        <f t="shared" si="8"/>
        <v>2.2160517851130086</v>
      </c>
      <c r="AC65">
        <f t="shared" si="9"/>
        <v>1.4746835443037973</v>
      </c>
      <c r="AD65">
        <f t="shared" si="10"/>
        <v>4.9429657794676842</v>
      </c>
      <c r="AE65">
        <f t="shared" si="11"/>
        <v>1.075949367088608</v>
      </c>
    </row>
    <row r="66" spans="1:31" x14ac:dyDescent="0.3">
      <c r="A66">
        <v>57</v>
      </c>
      <c r="B66" t="s">
        <v>124</v>
      </c>
      <c r="C66" t="s">
        <v>90</v>
      </c>
      <c r="D66" t="s">
        <v>207</v>
      </c>
      <c r="E66">
        <v>1</v>
      </c>
      <c r="H66">
        <v>0</v>
      </c>
      <c r="I66">
        <v>1</v>
      </c>
      <c r="J66">
        <v>165</v>
      </c>
      <c r="L66" t="str">
        <f t="shared" si="5"/>
        <v/>
      </c>
      <c r="M66" t="s">
        <v>75</v>
      </c>
      <c r="N66">
        <v>32</v>
      </c>
      <c r="O66" t="s">
        <v>29</v>
      </c>
      <c r="P66">
        <v>1024</v>
      </c>
      <c r="Q66">
        <v>1</v>
      </c>
      <c r="R66">
        <v>14</v>
      </c>
      <c r="S66">
        <v>8</v>
      </c>
      <c r="T66">
        <v>119</v>
      </c>
      <c r="U66">
        <v>70</v>
      </c>
      <c r="V66" t="s">
        <v>30</v>
      </c>
      <c r="W66">
        <v>7</v>
      </c>
      <c r="X66">
        <v>7.25</v>
      </c>
      <c r="Y66" t="s">
        <v>31</v>
      </c>
      <c r="AA66">
        <f t="shared" ref="AA66:AA80" si="13">U66/X66</f>
        <v>9.6551724137931032</v>
      </c>
      <c r="AB66">
        <f t="shared" ref="AB66:AB80" si="14">AA66-(AVERAGE(AA:AA))</f>
        <v>2.2160517851130086</v>
      </c>
      <c r="AC66">
        <f t="shared" ref="AC66:AC80" si="15">S66-AVERAGE(S:S)</f>
        <v>1.4746835443037973</v>
      </c>
      <c r="AD66">
        <f t="shared" ref="AD66:AD80" si="16">T66/(-110+17.25*R66)*100-100</f>
        <v>-9.5057034220532302</v>
      </c>
      <c r="AE66">
        <f t="shared" ref="AE66:AE80" si="17">W66-AVERAGE(W:W)</f>
        <v>1.075949367088608</v>
      </c>
    </row>
    <row r="67" spans="1:31" x14ac:dyDescent="0.3">
      <c r="A67">
        <v>55</v>
      </c>
      <c r="B67" t="s">
        <v>120</v>
      </c>
      <c r="C67" t="s">
        <v>90</v>
      </c>
      <c r="D67" t="s">
        <v>235</v>
      </c>
      <c r="E67">
        <v>1</v>
      </c>
      <c r="F67" t="s">
        <v>121</v>
      </c>
      <c r="H67">
        <v>0</v>
      </c>
      <c r="I67">
        <v>1</v>
      </c>
      <c r="J67">
        <v>170</v>
      </c>
      <c r="L67" t="str">
        <f t="shared" ref="L67:L80" si="18">IF(Y67&lt;&gt;"쿠팡", ((K67-J67)/J67)*100, "")</f>
        <v/>
      </c>
      <c r="M67" t="s">
        <v>165</v>
      </c>
      <c r="N67">
        <v>32</v>
      </c>
      <c r="O67" t="s">
        <v>29</v>
      </c>
      <c r="P67">
        <v>512</v>
      </c>
      <c r="Q67">
        <v>1</v>
      </c>
      <c r="R67">
        <v>14</v>
      </c>
      <c r="S67">
        <v>8</v>
      </c>
      <c r="T67">
        <v>138</v>
      </c>
      <c r="U67">
        <v>70</v>
      </c>
      <c r="V67" t="s">
        <v>30</v>
      </c>
      <c r="W67">
        <v>8</v>
      </c>
      <c r="X67">
        <v>7.25</v>
      </c>
      <c r="Y67" t="s">
        <v>31</v>
      </c>
      <c r="AA67">
        <f t="shared" si="13"/>
        <v>9.6551724137931032</v>
      </c>
      <c r="AB67">
        <f t="shared" si="14"/>
        <v>2.2160517851130086</v>
      </c>
      <c r="AC67">
        <f t="shared" si="15"/>
        <v>1.4746835443037973</v>
      </c>
      <c r="AD67">
        <f t="shared" si="16"/>
        <v>4.9429657794676842</v>
      </c>
      <c r="AE67">
        <f t="shared" si="17"/>
        <v>2.075949367088608</v>
      </c>
    </row>
    <row r="68" spans="1:31" x14ac:dyDescent="0.3">
      <c r="A68">
        <v>56</v>
      </c>
      <c r="B68" t="s">
        <v>122</v>
      </c>
      <c r="C68" t="s">
        <v>90</v>
      </c>
      <c r="D68" t="s">
        <v>235</v>
      </c>
      <c r="E68">
        <v>2</v>
      </c>
      <c r="F68" t="s">
        <v>123</v>
      </c>
      <c r="H68">
        <v>0</v>
      </c>
      <c r="I68">
        <v>1</v>
      </c>
      <c r="J68">
        <v>178</v>
      </c>
      <c r="L68" t="str">
        <f t="shared" si="18"/>
        <v/>
      </c>
      <c r="M68" t="s">
        <v>165</v>
      </c>
      <c r="N68">
        <v>32</v>
      </c>
      <c r="O68" t="s">
        <v>29</v>
      </c>
      <c r="P68">
        <v>1024</v>
      </c>
      <c r="Q68">
        <v>1</v>
      </c>
      <c r="R68">
        <v>14</v>
      </c>
      <c r="S68">
        <v>8</v>
      </c>
      <c r="T68">
        <v>138</v>
      </c>
      <c r="U68">
        <v>70</v>
      </c>
      <c r="V68" t="s">
        <v>30</v>
      </c>
      <c r="W68">
        <v>8</v>
      </c>
      <c r="X68">
        <v>7.25</v>
      </c>
      <c r="Y68" t="s">
        <v>31</v>
      </c>
      <c r="AA68">
        <f t="shared" si="13"/>
        <v>9.6551724137931032</v>
      </c>
      <c r="AB68">
        <f t="shared" si="14"/>
        <v>2.2160517851130086</v>
      </c>
      <c r="AC68">
        <f t="shared" si="15"/>
        <v>1.4746835443037973</v>
      </c>
      <c r="AD68">
        <f t="shared" si="16"/>
        <v>4.9429657794676842</v>
      </c>
      <c r="AE68">
        <f t="shared" si="17"/>
        <v>2.075949367088608</v>
      </c>
    </row>
    <row r="69" spans="1:31" x14ac:dyDescent="0.3">
      <c r="A69">
        <v>60</v>
      </c>
      <c r="B69" t="s">
        <v>127</v>
      </c>
      <c r="C69" t="s">
        <v>90</v>
      </c>
      <c r="D69" t="s">
        <v>208</v>
      </c>
      <c r="E69">
        <v>1</v>
      </c>
      <c r="H69">
        <v>0</v>
      </c>
      <c r="I69">
        <v>1</v>
      </c>
      <c r="J69">
        <v>225</v>
      </c>
      <c r="L69" t="str">
        <f t="shared" si="18"/>
        <v/>
      </c>
      <c r="M69" t="s">
        <v>128</v>
      </c>
      <c r="N69">
        <v>32</v>
      </c>
      <c r="O69" t="s">
        <v>29</v>
      </c>
      <c r="P69">
        <v>1024</v>
      </c>
      <c r="Q69">
        <v>1</v>
      </c>
      <c r="R69">
        <v>13.3</v>
      </c>
      <c r="S69">
        <v>8</v>
      </c>
      <c r="T69">
        <v>134</v>
      </c>
      <c r="U69">
        <v>80</v>
      </c>
      <c r="V69" t="s">
        <v>30</v>
      </c>
      <c r="W69">
        <v>4</v>
      </c>
      <c r="X69">
        <v>9.5</v>
      </c>
      <c r="Y69" t="s">
        <v>31</v>
      </c>
      <c r="AA69">
        <f t="shared" si="13"/>
        <v>8.4210526315789469</v>
      </c>
      <c r="AB69">
        <f t="shared" si="14"/>
        <v>0.9819320028988523</v>
      </c>
      <c r="AC69">
        <f t="shared" si="15"/>
        <v>1.4746835443037973</v>
      </c>
      <c r="AD69">
        <f t="shared" si="16"/>
        <v>12.204312329914174</v>
      </c>
      <c r="AE69">
        <f t="shared" si="17"/>
        <v>-1.924050632911392</v>
      </c>
    </row>
    <row r="70" spans="1:31" x14ac:dyDescent="0.3">
      <c r="A70">
        <v>51</v>
      </c>
      <c r="B70" t="s">
        <v>114</v>
      </c>
      <c r="C70" t="s">
        <v>90</v>
      </c>
      <c r="D70" t="s">
        <v>209</v>
      </c>
      <c r="E70">
        <v>1</v>
      </c>
      <c r="H70">
        <v>0</v>
      </c>
      <c r="I70">
        <v>1</v>
      </c>
      <c r="J70">
        <v>125</v>
      </c>
      <c r="L70" t="str">
        <f t="shared" ref="L70:L79" si="19">IF(Y70&lt;&gt;"쿠팡", ((K70-J70)/J70)*100, "")</f>
        <v/>
      </c>
      <c r="M70" t="s">
        <v>58</v>
      </c>
      <c r="N70">
        <v>24</v>
      </c>
      <c r="O70" t="s">
        <v>78</v>
      </c>
      <c r="P70">
        <v>512</v>
      </c>
      <c r="Q70">
        <v>0</v>
      </c>
      <c r="R70">
        <v>16</v>
      </c>
      <c r="S70">
        <v>8</v>
      </c>
      <c r="T70">
        <v>169</v>
      </c>
      <c r="U70">
        <v>60</v>
      </c>
      <c r="V70" t="s">
        <v>30</v>
      </c>
      <c r="W70">
        <v>8</v>
      </c>
      <c r="X70">
        <v>10</v>
      </c>
      <c r="Y70" t="s">
        <v>31</v>
      </c>
      <c r="AA70">
        <f t="shared" si="13"/>
        <v>6</v>
      </c>
      <c r="AB70">
        <f t="shared" si="14"/>
        <v>-1.4391206286800946</v>
      </c>
      <c r="AC70">
        <f t="shared" si="15"/>
        <v>1.4746835443037973</v>
      </c>
      <c r="AD70">
        <f t="shared" si="16"/>
        <v>1.8072289156626482</v>
      </c>
      <c r="AE70">
        <f t="shared" si="17"/>
        <v>2.075949367088608</v>
      </c>
    </row>
    <row r="71" spans="1:31" x14ac:dyDescent="0.3">
      <c r="A71">
        <v>58</v>
      </c>
      <c r="B71" t="s">
        <v>125</v>
      </c>
      <c r="C71" t="s">
        <v>90</v>
      </c>
      <c r="D71" t="s">
        <v>210</v>
      </c>
      <c r="E71">
        <v>1</v>
      </c>
      <c r="H71">
        <v>0</v>
      </c>
      <c r="I71">
        <v>1</v>
      </c>
      <c r="J71">
        <v>176</v>
      </c>
      <c r="L71" t="str">
        <f t="shared" si="19"/>
        <v/>
      </c>
      <c r="M71" t="s">
        <v>28</v>
      </c>
      <c r="N71">
        <v>32</v>
      </c>
      <c r="O71" t="s">
        <v>29</v>
      </c>
      <c r="P71">
        <v>512</v>
      </c>
      <c r="Q71">
        <v>1</v>
      </c>
      <c r="R71">
        <v>14</v>
      </c>
      <c r="S71">
        <v>8</v>
      </c>
      <c r="T71">
        <v>119</v>
      </c>
      <c r="U71">
        <v>70</v>
      </c>
      <c r="V71" t="s">
        <v>30</v>
      </c>
      <c r="W71">
        <v>8</v>
      </c>
      <c r="X71">
        <v>7.25</v>
      </c>
      <c r="Y71" t="s">
        <v>31</v>
      </c>
      <c r="AA71">
        <f t="shared" si="13"/>
        <v>9.6551724137931032</v>
      </c>
      <c r="AB71">
        <f t="shared" si="14"/>
        <v>2.2160517851130086</v>
      </c>
      <c r="AC71">
        <f t="shared" si="15"/>
        <v>1.4746835443037973</v>
      </c>
      <c r="AD71">
        <f t="shared" si="16"/>
        <v>-9.5057034220532302</v>
      </c>
      <c r="AE71">
        <f t="shared" si="17"/>
        <v>2.075949367088608</v>
      </c>
    </row>
    <row r="72" spans="1:31" x14ac:dyDescent="0.3">
      <c r="A72">
        <v>59</v>
      </c>
      <c r="B72" t="s">
        <v>126</v>
      </c>
      <c r="C72" t="s">
        <v>90</v>
      </c>
      <c r="D72" t="s">
        <v>211</v>
      </c>
      <c r="E72">
        <v>1</v>
      </c>
      <c r="H72">
        <v>0</v>
      </c>
      <c r="I72">
        <v>1</v>
      </c>
      <c r="J72">
        <v>187</v>
      </c>
      <c r="L72" t="str">
        <f t="shared" si="19"/>
        <v/>
      </c>
      <c r="M72" t="s">
        <v>28</v>
      </c>
      <c r="N72">
        <v>32</v>
      </c>
      <c r="O72" t="s">
        <v>29</v>
      </c>
      <c r="P72">
        <v>1024</v>
      </c>
      <c r="Q72">
        <v>1</v>
      </c>
      <c r="R72">
        <v>15.3</v>
      </c>
      <c r="S72">
        <v>7.5</v>
      </c>
      <c r="T72">
        <v>153</v>
      </c>
      <c r="U72">
        <v>70</v>
      </c>
      <c r="V72" t="s">
        <v>36</v>
      </c>
      <c r="W72">
        <v>8</v>
      </c>
      <c r="X72">
        <v>7.5</v>
      </c>
      <c r="Y72" t="s">
        <v>31</v>
      </c>
      <c r="AA72">
        <f t="shared" si="13"/>
        <v>9.3333333333333339</v>
      </c>
      <c r="AB72">
        <f t="shared" si="14"/>
        <v>1.8942127046532393</v>
      </c>
      <c r="AC72">
        <f t="shared" si="15"/>
        <v>0.97468354430379733</v>
      </c>
      <c r="AD72">
        <f t="shared" si="16"/>
        <v>-0.6009420172161839</v>
      </c>
      <c r="AE72">
        <f t="shared" si="17"/>
        <v>2.075949367088608</v>
      </c>
    </row>
    <row r="73" spans="1:31" x14ac:dyDescent="0.3">
      <c r="A73">
        <v>68</v>
      </c>
      <c r="B73" t="s">
        <v>129</v>
      </c>
      <c r="C73" t="s">
        <v>130</v>
      </c>
      <c r="D73" t="s">
        <v>212</v>
      </c>
      <c r="E73">
        <v>1</v>
      </c>
      <c r="H73">
        <v>0</v>
      </c>
      <c r="I73">
        <v>1</v>
      </c>
      <c r="J73">
        <v>139</v>
      </c>
      <c r="L73" t="str">
        <f t="shared" si="19"/>
        <v/>
      </c>
      <c r="M73" t="s">
        <v>33</v>
      </c>
      <c r="N73">
        <v>16</v>
      </c>
      <c r="O73" t="s">
        <v>29</v>
      </c>
      <c r="P73">
        <v>256</v>
      </c>
      <c r="Q73">
        <v>1</v>
      </c>
      <c r="R73">
        <v>14</v>
      </c>
      <c r="S73">
        <v>6</v>
      </c>
      <c r="T73">
        <v>112</v>
      </c>
      <c r="U73">
        <v>72</v>
      </c>
      <c r="V73" t="s">
        <v>36</v>
      </c>
      <c r="W73">
        <v>7</v>
      </c>
      <c r="X73">
        <v>8</v>
      </c>
      <c r="Y73" t="s">
        <v>31</v>
      </c>
      <c r="AA73">
        <f t="shared" si="13"/>
        <v>9</v>
      </c>
      <c r="AB73">
        <f t="shared" si="14"/>
        <v>1.5608793713199054</v>
      </c>
      <c r="AC73">
        <f t="shared" si="15"/>
        <v>-0.52531645569620267</v>
      </c>
      <c r="AD73">
        <f t="shared" si="16"/>
        <v>-14.828897338403053</v>
      </c>
      <c r="AE73">
        <f t="shared" si="17"/>
        <v>1.075949367088608</v>
      </c>
    </row>
    <row r="74" spans="1:31" x14ac:dyDescent="0.3">
      <c r="A74">
        <v>69</v>
      </c>
      <c r="B74" t="s">
        <v>131</v>
      </c>
      <c r="C74" t="s">
        <v>130</v>
      </c>
      <c r="D74" t="s">
        <v>213</v>
      </c>
      <c r="E74">
        <v>1</v>
      </c>
      <c r="H74">
        <v>0</v>
      </c>
      <c r="I74">
        <v>1</v>
      </c>
      <c r="J74">
        <v>176</v>
      </c>
      <c r="L74" t="str">
        <f t="shared" si="19"/>
        <v/>
      </c>
      <c r="M74" t="s">
        <v>33</v>
      </c>
      <c r="N74">
        <v>16</v>
      </c>
      <c r="O74" t="s">
        <v>29</v>
      </c>
      <c r="P74">
        <v>256</v>
      </c>
      <c r="Q74">
        <v>1</v>
      </c>
      <c r="R74">
        <v>16</v>
      </c>
      <c r="S74">
        <v>7.5</v>
      </c>
      <c r="T74">
        <v>120</v>
      </c>
      <c r="U74">
        <v>77</v>
      </c>
      <c r="V74" t="s">
        <v>36</v>
      </c>
      <c r="W74">
        <v>7</v>
      </c>
      <c r="X74">
        <v>9.5</v>
      </c>
      <c r="Y74" t="s">
        <v>31</v>
      </c>
      <c r="AA74">
        <f t="shared" si="13"/>
        <v>8.1052631578947363</v>
      </c>
      <c r="AB74">
        <f t="shared" si="14"/>
        <v>0.66614252921464168</v>
      </c>
      <c r="AC74">
        <f t="shared" si="15"/>
        <v>0.97468354430379733</v>
      </c>
      <c r="AD74">
        <f t="shared" si="16"/>
        <v>-27.710843373493972</v>
      </c>
      <c r="AE74">
        <f t="shared" si="17"/>
        <v>1.075949367088608</v>
      </c>
    </row>
    <row r="75" spans="1:31" x14ac:dyDescent="0.3">
      <c r="A75">
        <v>72</v>
      </c>
      <c r="B75" t="s">
        <v>136</v>
      </c>
      <c r="C75" t="s">
        <v>130</v>
      </c>
      <c r="D75" t="s">
        <v>214</v>
      </c>
      <c r="E75">
        <v>1</v>
      </c>
      <c r="H75">
        <v>0</v>
      </c>
      <c r="I75">
        <v>1</v>
      </c>
      <c r="J75">
        <v>187</v>
      </c>
      <c r="L75" t="str">
        <f t="shared" si="19"/>
        <v/>
      </c>
      <c r="M75" t="s">
        <v>33</v>
      </c>
      <c r="N75">
        <v>16</v>
      </c>
      <c r="O75" t="s">
        <v>29</v>
      </c>
      <c r="P75">
        <v>256</v>
      </c>
      <c r="Q75">
        <v>1</v>
      </c>
      <c r="R75">
        <v>17</v>
      </c>
      <c r="S75">
        <v>7.5</v>
      </c>
      <c r="T75">
        <v>139</v>
      </c>
      <c r="U75">
        <v>77</v>
      </c>
      <c r="V75" t="s">
        <v>36</v>
      </c>
      <c r="W75">
        <v>7</v>
      </c>
      <c r="X75">
        <v>9.5</v>
      </c>
      <c r="Y75" t="s">
        <v>31</v>
      </c>
      <c r="AA75">
        <f t="shared" si="13"/>
        <v>8.1052631578947363</v>
      </c>
      <c r="AB75">
        <f t="shared" si="14"/>
        <v>0.66614252921464168</v>
      </c>
      <c r="AC75">
        <f t="shared" si="15"/>
        <v>0.97468354430379733</v>
      </c>
      <c r="AD75">
        <f t="shared" si="16"/>
        <v>-24.147339699863579</v>
      </c>
      <c r="AE75">
        <f t="shared" si="17"/>
        <v>1.075949367088608</v>
      </c>
    </row>
    <row r="76" spans="1:31" x14ac:dyDescent="0.3">
      <c r="A76">
        <v>73</v>
      </c>
      <c r="B76" t="s">
        <v>137</v>
      </c>
      <c r="C76" t="s">
        <v>130</v>
      </c>
      <c r="D76" t="s">
        <v>215</v>
      </c>
      <c r="E76">
        <v>1</v>
      </c>
      <c r="H76">
        <v>0</v>
      </c>
      <c r="I76">
        <v>1</v>
      </c>
      <c r="J76">
        <v>176</v>
      </c>
      <c r="L76" t="str">
        <f t="shared" si="19"/>
        <v/>
      </c>
      <c r="M76" t="s">
        <v>33</v>
      </c>
      <c r="N76">
        <v>16</v>
      </c>
      <c r="O76" t="s">
        <v>29</v>
      </c>
      <c r="P76">
        <v>256</v>
      </c>
      <c r="Q76">
        <v>1</v>
      </c>
      <c r="R76">
        <v>16</v>
      </c>
      <c r="S76">
        <v>7.5</v>
      </c>
      <c r="T76">
        <v>140</v>
      </c>
      <c r="U76">
        <v>77</v>
      </c>
      <c r="V76" t="s">
        <v>36</v>
      </c>
      <c r="W76">
        <v>7</v>
      </c>
      <c r="X76">
        <v>9.5</v>
      </c>
      <c r="Y76" t="s">
        <v>31</v>
      </c>
      <c r="AA76">
        <f t="shared" si="13"/>
        <v>8.1052631578947363</v>
      </c>
      <c r="AB76">
        <f t="shared" si="14"/>
        <v>0.66614252921464168</v>
      </c>
      <c r="AC76">
        <f t="shared" si="15"/>
        <v>0.97468354430379733</v>
      </c>
      <c r="AD76">
        <f t="shared" si="16"/>
        <v>-15.662650602409627</v>
      </c>
      <c r="AE76">
        <f t="shared" si="17"/>
        <v>1.075949367088608</v>
      </c>
    </row>
    <row r="77" spans="1:31" x14ac:dyDescent="0.3">
      <c r="A77">
        <v>70</v>
      </c>
      <c r="B77" t="s">
        <v>132</v>
      </c>
      <c r="C77" t="s">
        <v>130</v>
      </c>
      <c r="D77" t="s">
        <v>216</v>
      </c>
      <c r="E77">
        <v>1</v>
      </c>
      <c r="F77" t="s">
        <v>133</v>
      </c>
      <c r="H77">
        <v>0</v>
      </c>
      <c r="I77">
        <v>1</v>
      </c>
      <c r="J77">
        <v>181</v>
      </c>
      <c r="L77" t="str">
        <f t="shared" si="19"/>
        <v/>
      </c>
      <c r="M77" t="s">
        <v>63</v>
      </c>
      <c r="N77">
        <v>16</v>
      </c>
      <c r="O77" t="s">
        <v>29</v>
      </c>
      <c r="P77">
        <v>256</v>
      </c>
      <c r="Q77">
        <v>0</v>
      </c>
      <c r="R77">
        <v>16</v>
      </c>
      <c r="S77">
        <v>7.5</v>
      </c>
      <c r="T77">
        <v>120</v>
      </c>
      <c r="U77">
        <v>77</v>
      </c>
      <c r="V77" t="s">
        <v>36</v>
      </c>
      <c r="W77">
        <v>7</v>
      </c>
      <c r="X77">
        <v>7.5</v>
      </c>
      <c r="Y77" t="s">
        <v>31</v>
      </c>
      <c r="AA77">
        <f t="shared" si="13"/>
        <v>10.266666666666667</v>
      </c>
      <c r="AB77">
        <f t="shared" si="14"/>
        <v>2.8275460379865729</v>
      </c>
      <c r="AC77">
        <f t="shared" si="15"/>
        <v>0.97468354430379733</v>
      </c>
      <c r="AD77">
        <f t="shared" si="16"/>
        <v>-27.710843373493972</v>
      </c>
      <c r="AE77">
        <f t="shared" si="17"/>
        <v>1.075949367088608</v>
      </c>
    </row>
    <row r="78" spans="1:31" x14ac:dyDescent="0.3">
      <c r="A78">
        <v>71</v>
      </c>
      <c r="B78" t="s">
        <v>134</v>
      </c>
      <c r="C78" t="s">
        <v>130</v>
      </c>
      <c r="D78" t="s">
        <v>216</v>
      </c>
      <c r="E78">
        <v>1</v>
      </c>
      <c r="F78" t="s">
        <v>135</v>
      </c>
      <c r="H78">
        <v>0</v>
      </c>
      <c r="I78">
        <v>1</v>
      </c>
      <c r="J78">
        <v>181</v>
      </c>
      <c r="L78" t="str">
        <f t="shared" si="19"/>
        <v/>
      </c>
      <c r="M78" t="s">
        <v>63</v>
      </c>
      <c r="N78">
        <v>16</v>
      </c>
      <c r="O78" t="s">
        <v>29</v>
      </c>
      <c r="P78">
        <v>256</v>
      </c>
      <c r="Q78">
        <v>1</v>
      </c>
      <c r="R78">
        <v>16</v>
      </c>
      <c r="S78">
        <v>7.5</v>
      </c>
      <c r="T78">
        <v>120</v>
      </c>
      <c r="U78">
        <v>77</v>
      </c>
      <c r="V78" t="s">
        <v>36</v>
      </c>
      <c r="W78">
        <v>7</v>
      </c>
      <c r="X78">
        <v>7.5</v>
      </c>
      <c r="Y78" t="s">
        <v>31</v>
      </c>
      <c r="AA78">
        <f t="shared" si="13"/>
        <v>10.266666666666667</v>
      </c>
      <c r="AB78">
        <f t="shared" si="14"/>
        <v>2.8275460379865729</v>
      </c>
      <c r="AC78">
        <f t="shared" si="15"/>
        <v>0.97468354430379733</v>
      </c>
      <c r="AD78">
        <f t="shared" si="16"/>
        <v>-27.710843373493972</v>
      </c>
      <c r="AE78">
        <f t="shared" si="17"/>
        <v>1.075949367088608</v>
      </c>
    </row>
    <row r="79" spans="1:31" x14ac:dyDescent="0.3">
      <c r="A79">
        <v>74</v>
      </c>
      <c r="B79" t="s">
        <v>138</v>
      </c>
      <c r="C79" t="s">
        <v>139</v>
      </c>
      <c r="D79" t="s">
        <v>217</v>
      </c>
      <c r="E79">
        <v>1</v>
      </c>
      <c r="H79">
        <v>0</v>
      </c>
      <c r="I79">
        <v>1</v>
      </c>
      <c r="J79">
        <v>110</v>
      </c>
      <c r="L79" t="str">
        <f t="shared" si="19"/>
        <v/>
      </c>
      <c r="M79" t="s">
        <v>140</v>
      </c>
      <c r="N79">
        <v>16</v>
      </c>
      <c r="O79" t="s">
        <v>29</v>
      </c>
      <c r="P79">
        <v>256</v>
      </c>
      <c r="Q79">
        <v>1</v>
      </c>
      <c r="R79">
        <v>13</v>
      </c>
      <c r="S79">
        <v>6</v>
      </c>
      <c r="T79">
        <v>124</v>
      </c>
      <c r="U79">
        <v>48</v>
      </c>
      <c r="V79" t="s">
        <v>36</v>
      </c>
      <c r="W79">
        <v>3</v>
      </c>
      <c r="X79">
        <v>5.5</v>
      </c>
      <c r="Y79" t="s">
        <v>31</v>
      </c>
      <c r="AA79">
        <f t="shared" si="13"/>
        <v>8.7272727272727266</v>
      </c>
      <c r="AB79">
        <f t="shared" si="14"/>
        <v>1.288152098592632</v>
      </c>
      <c r="AC79">
        <f t="shared" si="15"/>
        <v>-0.52531645569620267</v>
      </c>
      <c r="AD79">
        <f t="shared" si="16"/>
        <v>8.533916849015327</v>
      </c>
      <c r="AE79">
        <f t="shared" si="17"/>
        <v>-2.924050632911392</v>
      </c>
    </row>
    <row r="80" spans="1:31" x14ac:dyDescent="0.3">
      <c r="A80">
        <v>75</v>
      </c>
      <c r="B80" t="s">
        <v>141</v>
      </c>
      <c r="C80" t="s">
        <v>139</v>
      </c>
      <c r="D80" t="s">
        <v>218</v>
      </c>
      <c r="E80">
        <v>1</v>
      </c>
      <c r="H80">
        <v>0</v>
      </c>
      <c r="I80">
        <v>1</v>
      </c>
      <c r="J80">
        <v>150</v>
      </c>
      <c r="L80" t="str">
        <f t="shared" si="18"/>
        <v/>
      </c>
      <c r="M80" t="s">
        <v>142</v>
      </c>
      <c r="N80">
        <v>16</v>
      </c>
      <c r="O80" t="s">
        <v>29</v>
      </c>
      <c r="P80">
        <v>512</v>
      </c>
      <c r="Q80">
        <v>1</v>
      </c>
      <c r="R80">
        <v>13.8</v>
      </c>
      <c r="S80">
        <v>7</v>
      </c>
      <c r="T80">
        <v>134</v>
      </c>
      <c r="U80">
        <v>54</v>
      </c>
      <c r="V80" t="s">
        <v>36</v>
      </c>
      <c r="W80">
        <v>3</v>
      </c>
      <c r="X80">
        <v>5.5</v>
      </c>
      <c r="Y80" t="s">
        <v>31</v>
      </c>
      <c r="AA80">
        <f t="shared" si="13"/>
        <v>9.8181818181818183</v>
      </c>
      <c r="AB80">
        <f t="shared" si="14"/>
        <v>2.3790611895017237</v>
      </c>
      <c r="AC80">
        <f t="shared" si="15"/>
        <v>0.47468354430379733</v>
      </c>
      <c r="AD80">
        <f t="shared" si="16"/>
        <v>4.6466224131198572</v>
      </c>
      <c r="AE80">
        <f t="shared" si="17"/>
        <v>-2.924050632911392</v>
      </c>
    </row>
  </sheetData>
  <sortState xmlns:xlrd2="http://schemas.microsoft.com/office/spreadsheetml/2017/richdata2" ref="A2:AE80">
    <sortCondition ref="Y1:Y80"/>
  </sortState>
  <phoneticPr fontId="18" type="noConversion"/>
  <hyperlinks>
    <hyperlink ref="B4" r:id="rId1" xr:uid="{8CDE4958-5903-431C-B34F-E9CA79951BCF}"/>
    <hyperlink ref="B5" r:id="rId2" xr:uid="{7C4169E8-93C9-4878-A0A7-F2E43E78EFA2}"/>
    <hyperlink ref="B7" r:id="rId3" xr:uid="{C68D053D-6A31-45F0-9494-12AE26E861B2}"/>
    <hyperlink ref="B9" r:id="rId4" display="https://smartstore.naver.com/samsung_mall/products/11256046363" xr:uid="{836DAA7E-3698-46B3-956C-2D7F97CE46FB}"/>
    <hyperlink ref="B8" r:id="rId5" xr:uid="{637EE4E2-122C-4B62-A3AA-BF8885E38863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형주 이</cp:lastModifiedBy>
  <dcterms:created xsi:type="dcterms:W3CDTF">2026-03-17T04:43:28Z</dcterms:created>
  <dcterms:modified xsi:type="dcterms:W3CDTF">2026-04-11T00:33:24Z</dcterms:modified>
</cp:coreProperties>
</file>